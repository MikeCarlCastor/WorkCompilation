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9.xml" ContentType="application/vnd.ms-office.chartstyle+xml"/>
  <Override PartName="/xl/charts/colors9.xml" ContentType="application/vnd.ms-office.chartcolorstyle+xml"/>
  <Override PartName="/xl/charts/chart5.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11.xml" ContentType="application/vnd.ms-office.chartstyle+xml"/>
  <Override PartName="/xl/charts/colors11.xml" ContentType="application/vnd.ms-office.chartcolorstyle+xml"/>
  <Override PartName="/xl/charts/chart7.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13.xml" ContentType="application/vnd.ms-office.chartstyle+xml"/>
  <Override PartName="/xl/charts/colors13.xml" ContentType="application/vnd.ms-office.chartcolorstyle+xml"/>
  <Override PartName="/xl/charts/chart9.xml" ContentType="application/vnd.openxmlformats-officedocument.drawingml.chart+xml"/>
  <Override PartName="/xl/charts/style14.xml" ContentType="application/vnd.ms-office.chartstyle+xml"/>
  <Override PartName="/xl/charts/colors14.xml" ContentType="application/vnd.ms-office.chartcolorstyle+xml"/>
  <Override PartName="/xl/charts/chart10.xml" ContentType="application/vnd.openxmlformats-officedocument.drawingml.chart+xml"/>
  <Override PartName="/xl/charts/style15.xml" ContentType="application/vnd.ms-office.chartstyle+xml"/>
  <Override PartName="/xl/charts/colors15.xml" ContentType="application/vnd.ms-office.chartcolorstyle+xml"/>
  <Override PartName="/xl/charts/chart11.xml" ContentType="application/vnd.openxmlformats-officedocument.drawingml.chart+xml"/>
  <Override PartName="/xl/charts/style16.xml" ContentType="application/vnd.ms-office.chartstyle+xml"/>
  <Override PartName="/xl/charts/colors16.xml" ContentType="application/vnd.ms-office.chartcolorstyle+xml"/>
  <Override PartName="/xl/charts/chart12.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0.xml" ContentType="application/vnd.openxmlformats-officedocument.drawing+xml"/>
  <Override PartName="/xl/slicers/slicer1.xml" ContentType="application/vnd.ms-excel.slicer+xml"/>
  <Override PartName="/xl/charts/chart13.xml" ContentType="application/vnd.openxmlformats-officedocument.drawingml.chart+xml"/>
  <Override PartName="/xl/charts/style18.xml" ContentType="application/vnd.ms-office.chartstyle+xml"/>
  <Override PartName="/xl/charts/colors18.xml" ContentType="application/vnd.ms-office.chartcolorstyle+xml"/>
  <Override PartName="/xl/charts/chart14.xml" ContentType="application/vnd.openxmlformats-officedocument.drawingml.chart+xml"/>
  <Override PartName="/xl/charts/style19.xml" ContentType="application/vnd.ms-office.chartstyle+xml"/>
  <Override PartName="/xl/charts/colors19.xml" ContentType="application/vnd.ms-office.chartcolorstyle+xml"/>
  <Override PartName="/xl/charts/chart15.xml" ContentType="application/vnd.openxmlformats-officedocument.drawingml.chart+xml"/>
  <Override PartName="/xl/charts/style20.xml" ContentType="application/vnd.ms-office.chartstyle+xml"/>
  <Override PartName="/xl/charts/colors20.xml" ContentType="application/vnd.ms-office.chartcolorstyle+xml"/>
  <Override PartName="/xl/charts/chart16.xml" ContentType="application/vnd.openxmlformats-officedocument.drawingml.chart+xml"/>
  <Override PartName="/xl/charts/style21.xml" ContentType="application/vnd.ms-office.chartstyle+xml"/>
  <Override PartName="/xl/charts/colors21.xml" ContentType="application/vnd.ms-office.chartcolorstyle+xml"/>
  <Override PartName="/xl/charts/chart17.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Users\casto\OneDrive\Data Analytics\New Projects\excel projects\"/>
    </mc:Choice>
  </mc:AlternateContent>
  <xr:revisionPtr revIDLastSave="0" documentId="13_ncr:1_{9D8FA7F1-32A7-424A-BAB6-AD37F141E8FC}" xr6:coauthVersionLast="47" xr6:coauthVersionMax="47" xr10:uidLastSave="{00000000-0000-0000-0000-000000000000}"/>
  <bookViews>
    <workbookView xWindow="-3375" yWindow="1245" windowWidth="20715" windowHeight="13830" firstSheet="5" activeTab="5" xr2:uid="{592B5DB4-C6F2-4C7B-AEFC-C3606D1DC456}"/>
  </bookViews>
  <sheets>
    <sheet name="call_center_cleaned" sheetId="2" r:id="rId1"/>
    <sheet name="reference_sheet" sheetId="4" r:id="rId2"/>
    <sheet name="Analysis#1" sheetId="6" r:id="rId3"/>
    <sheet name="Analysis#2" sheetId="7" r:id="rId4"/>
    <sheet name="Analysis#3" sheetId="8" r:id="rId5"/>
    <sheet name="Analysis#4" sheetId="28" r:id="rId6"/>
    <sheet name="Analysis#5" sheetId="36" r:id="rId7"/>
    <sheet name="Agent's Performance" sheetId="50" r:id="rId8"/>
    <sheet name="Charts" sheetId="53" r:id="rId9"/>
    <sheet name="Dashboard" sheetId="51" r:id="rId10"/>
  </sheets>
  <definedNames>
    <definedName name="_xlchart.v1.0" hidden="1">call_center_cleaned!$L$5</definedName>
    <definedName name="_xlchart.v1.1" hidden="1">call_center_cleaned!$L$6:$L$256</definedName>
    <definedName name="_xlchart.v1.2" hidden="1">call_center_cleaned!$K$5</definedName>
    <definedName name="_xlchart.v1.3" hidden="1">call_center_cleaned!$K$6:$K$256</definedName>
    <definedName name="_xlchart.v1.4" hidden="1">call_center_cleaned!$N$5</definedName>
    <definedName name="_xlchart.v1.5" hidden="1">call_center_cleaned!$N$6:$N$256</definedName>
    <definedName name="_xlchart.v1.6" hidden="1">call_center_cleaned!$O$5</definedName>
    <definedName name="_xlchart.v1.7" hidden="1">call_center_cleaned!$O$6:$O$256</definedName>
    <definedName name="_xlchart.v1.8" hidden="1">call_center_cleaned!$F$5</definedName>
    <definedName name="_xlchart.v1.9" hidden="1">call_center_cleaned!$F$6:$F$256</definedName>
    <definedName name="ExternalData_1" localSheetId="0" hidden="1">call_center_cleaned!$B$5:$O$256</definedName>
    <definedName name="Slicer_Name">#N/A</definedName>
  </definedNames>
  <calcPr calcId="19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9" i="53" l="1" a="1"/>
  <c r="B69" i="53" s="1"/>
  <c r="D13" i="50"/>
  <c r="D14" i="50"/>
  <c r="D8" i="50"/>
  <c r="D7" i="50"/>
  <c r="D23" i="50"/>
  <c r="D22" i="50"/>
  <c r="D21" i="50"/>
  <c r="D17" i="50"/>
  <c r="D16" i="50"/>
  <c r="D15" i="50"/>
  <c r="D9" i="50"/>
  <c r="D6" i="2"/>
  <c r="E6" i="2"/>
  <c r="F6" i="2" s="1"/>
  <c r="D7" i="2"/>
  <c r="E7" i="2"/>
  <c r="F7" i="2" s="1"/>
  <c r="D8" i="2"/>
  <c r="E8" i="2"/>
  <c r="F8" i="2" s="1"/>
  <c r="D9" i="2"/>
  <c r="E9" i="2"/>
  <c r="F9" i="2" s="1"/>
  <c r="D10" i="2"/>
  <c r="E10" i="2"/>
  <c r="F10" i="2" s="1"/>
  <c r="D11" i="2"/>
  <c r="E11" i="2"/>
  <c r="F11" i="2" s="1"/>
  <c r="D12" i="2"/>
  <c r="E12" i="2"/>
  <c r="F12" i="2" s="1"/>
  <c r="D13" i="2"/>
  <c r="E13" i="2"/>
  <c r="F13" i="2" s="1"/>
  <c r="D14" i="2"/>
  <c r="E14" i="2"/>
  <c r="F14" i="2" s="1"/>
  <c r="D15" i="2"/>
  <c r="E15" i="2"/>
  <c r="F15" i="2" s="1"/>
  <c r="D16" i="2"/>
  <c r="E16" i="2"/>
  <c r="F16" i="2" s="1"/>
  <c r="D17" i="2"/>
  <c r="E17" i="2"/>
  <c r="F17" i="2" s="1"/>
  <c r="D18" i="2"/>
  <c r="E18" i="2"/>
  <c r="F18" i="2" s="1"/>
  <c r="D19" i="2"/>
  <c r="E19" i="2"/>
  <c r="F19" i="2" s="1"/>
  <c r="D20" i="2"/>
  <c r="E20" i="2"/>
  <c r="F20" i="2" s="1"/>
  <c r="D21" i="2"/>
  <c r="E21" i="2"/>
  <c r="F21" i="2" s="1"/>
  <c r="D22" i="2"/>
  <c r="E22" i="2"/>
  <c r="F22" i="2" s="1"/>
  <c r="D23" i="2"/>
  <c r="E23" i="2"/>
  <c r="F23" i="2" s="1"/>
  <c r="D24" i="2"/>
  <c r="E24" i="2"/>
  <c r="F24" i="2" s="1"/>
  <c r="D25" i="2"/>
  <c r="E25" i="2"/>
  <c r="F25" i="2" s="1"/>
  <c r="D26" i="2"/>
  <c r="E26" i="2"/>
  <c r="F26" i="2" s="1"/>
  <c r="D27" i="2"/>
  <c r="E27" i="2"/>
  <c r="F27" i="2" s="1"/>
  <c r="D28" i="2"/>
  <c r="E28" i="2"/>
  <c r="F28" i="2" s="1"/>
  <c r="D29" i="2"/>
  <c r="E29" i="2"/>
  <c r="F29" i="2" s="1"/>
  <c r="D30" i="2"/>
  <c r="E30" i="2"/>
  <c r="F30" i="2" s="1"/>
  <c r="D31" i="2"/>
  <c r="E31" i="2"/>
  <c r="F31" i="2" s="1"/>
  <c r="D32" i="2"/>
  <c r="E32" i="2"/>
  <c r="F32" i="2" s="1"/>
  <c r="D33" i="2"/>
  <c r="E33" i="2"/>
  <c r="F33" i="2" s="1"/>
  <c r="D34" i="2"/>
  <c r="E34" i="2"/>
  <c r="F34" i="2" s="1"/>
  <c r="D35" i="2"/>
  <c r="E35" i="2"/>
  <c r="F35" i="2" s="1"/>
  <c r="D36" i="2"/>
  <c r="E36" i="2"/>
  <c r="F36" i="2" s="1"/>
  <c r="D37" i="2"/>
  <c r="E37" i="2"/>
  <c r="F37" i="2" s="1"/>
  <c r="D38" i="2"/>
  <c r="E38" i="2"/>
  <c r="F38" i="2" s="1"/>
  <c r="D39" i="2"/>
  <c r="E39" i="2"/>
  <c r="F39" i="2" s="1"/>
  <c r="D40" i="2"/>
  <c r="E40" i="2"/>
  <c r="F40" i="2" s="1"/>
  <c r="D41" i="2"/>
  <c r="E41" i="2"/>
  <c r="F41" i="2" s="1"/>
  <c r="D42" i="2"/>
  <c r="E42" i="2"/>
  <c r="F42" i="2" s="1"/>
  <c r="D43" i="2"/>
  <c r="E43" i="2"/>
  <c r="F43" i="2" s="1"/>
  <c r="D44" i="2"/>
  <c r="E44" i="2"/>
  <c r="F44" i="2" s="1"/>
  <c r="D45" i="2"/>
  <c r="E45" i="2"/>
  <c r="F45" i="2" s="1"/>
  <c r="D46" i="2"/>
  <c r="E46" i="2"/>
  <c r="F46" i="2" s="1"/>
  <c r="D47" i="2"/>
  <c r="E47" i="2"/>
  <c r="F47" i="2" s="1"/>
  <c r="D48" i="2"/>
  <c r="E48" i="2"/>
  <c r="F48" i="2" s="1"/>
  <c r="D49" i="2"/>
  <c r="E49" i="2"/>
  <c r="F49" i="2" s="1"/>
  <c r="D50" i="2"/>
  <c r="E50" i="2"/>
  <c r="F50" i="2" s="1"/>
  <c r="D51" i="2"/>
  <c r="E51" i="2"/>
  <c r="F51" i="2" s="1"/>
  <c r="D52" i="2"/>
  <c r="E52" i="2"/>
  <c r="F52" i="2" s="1"/>
  <c r="D53" i="2"/>
  <c r="E53" i="2"/>
  <c r="F53" i="2" s="1"/>
  <c r="D54" i="2"/>
  <c r="E54" i="2"/>
  <c r="F54" i="2" s="1"/>
  <c r="D55" i="2"/>
  <c r="E55" i="2"/>
  <c r="F55" i="2" s="1"/>
  <c r="D56" i="2"/>
  <c r="E56" i="2"/>
  <c r="F56" i="2" s="1"/>
  <c r="D57" i="2"/>
  <c r="E57" i="2"/>
  <c r="F57" i="2" s="1"/>
  <c r="D58" i="2"/>
  <c r="E58" i="2"/>
  <c r="F58" i="2" s="1"/>
  <c r="D59" i="2"/>
  <c r="E59" i="2"/>
  <c r="F59" i="2" s="1"/>
  <c r="D60" i="2"/>
  <c r="E60" i="2"/>
  <c r="F60" i="2" s="1"/>
  <c r="D61" i="2"/>
  <c r="E61" i="2"/>
  <c r="F61" i="2" s="1"/>
  <c r="D62" i="2"/>
  <c r="E62" i="2"/>
  <c r="F62" i="2" s="1"/>
  <c r="D63" i="2"/>
  <c r="E63" i="2"/>
  <c r="F63" i="2" s="1"/>
  <c r="D64" i="2"/>
  <c r="E64" i="2"/>
  <c r="F64" i="2" s="1"/>
  <c r="D65" i="2"/>
  <c r="E65" i="2"/>
  <c r="F65" i="2" s="1"/>
  <c r="D66" i="2"/>
  <c r="E66" i="2"/>
  <c r="F66" i="2" s="1"/>
  <c r="D67" i="2"/>
  <c r="E67" i="2"/>
  <c r="F67" i="2" s="1"/>
  <c r="D68" i="2"/>
  <c r="E68" i="2"/>
  <c r="F68" i="2" s="1"/>
  <c r="D69" i="2"/>
  <c r="E69" i="2"/>
  <c r="F69" i="2" s="1"/>
  <c r="D70" i="2"/>
  <c r="E70" i="2"/>
  <c r="F70" i="2" s="1"/>
  <c r="D71" i="2"/>
  <c r="E71" i="2"/>
  <c r="F71" i="2" s="1"/>
  <c r="D72" i="2"/>
  <c r="E72" i="2"/>
  <c r="F72" i="2" s="1"/>
  <c r="D73" i="2"/>
  <c r="E73" i="2"/>
  <c r="F73" i="2" s="1"/>
  <c r="D74" i="2"/>
  <c r="E74" i="2"/>
  <c r="F74" i="2" s="1"/>
  <c r="D75" i="2"/>
  <c r="E75" i="2"/>
  <c r="F75" i="2" s="1"/>
  <c r="D76" i="2"/>
  <c r="E76" i="2"/>
  <c r="F76" i="2" s="1"/>
  <c r="D77" i="2"/>
  <c r="E77" i="2"/>
  <c r="F77" i="2" s="1"/>
  <c r="D78" i="2"/>
  <c r="E78" i="2"/>
  <c r="F78" i="2" s="1"/>
  <c r="D79" i="2"/>
  <c r="E79" i="2"/>
  <c r="F79" i="2" s="1"/>
  <c r="D80" i="2"/>
  <c r="E80" i="2"/>
  <c r="F80" i="2" s="1"/>
  <c r="D81" i="2"/>
  <c r="E81" i="2"/>
  <c r="F81" i="2" s="1"/>
  <c r="D82" i="2"/>
  <c r="E82" i="2"/>
  <c r="F82" i="2" s="1"/>
  <c r="D83" i="2"/>
  <c r="E83" i="2"/>
  <c r="F83" i="2" s="1"/>
  <c r="D84" i="2"/>
  <c r="E84" i="2"/>
  <c r="F84" i="2" s="1"/>
  <c r="D85" i="2"/>
  <c r="E85" i="2"/>
  <c r="F85" i="2" s="1"/>
  <c r="D86" i="2"/>
  <c r="E86" i="2"/>
  <c r="F86" i="2" s="1"/>
  <c r="D87" i="2"/>
  <c r="E87" i="2"/>
  <c r="F87" i="2" s="1"/>
  <c r="D88" i="2"/>
  <c r="E88" i="2"/>
  <c r="F88" i="2" s="1"/>
  <c r="D89" i="2"/>
  <c r="E89" i="2"/>
  <c r="F89" i="2" s="1"/>
  <c r="D90" i="2"/>
  <c r="E90" i="2"/>
  <c r="F90" i="2" s="1"/>
  <c r="D91" i="2"/>
  <c r="E91" i="2"/>
  <c r="F91" i="2" s="1"/>
  <c r="D92" i="2"/>
  <c r="E92" i="2"/>
  <c r="F92" i="2" s="1"/>
  <c r="D93" i="2"/>
  <c r="E93" i="2"/>
  <c r="F93" i="2" s="1"/>
  <c r="D94" i="2"/>
  <c r="E94" i="2"/>
  <c r="F94" i="2" s="1"/>
  <c r="D95" i="2"/>
  <c r="E95" i="2"/>
  <c r="F95" i="2" s="1"/>
  <c r="D96" i="2"/>
  <c r="E96" i="2"/>
  <c r="F96" i="2" s="1"/>
  <c r="D97" i="2"/>
  <c r="E97" i="2"/>
  <c r="F97" i="2" s="1"/>
  <c r="D98" i="2"/>
  <c r="E98" i="2"/>
  <c r="F98" i="2" s="1"/>
  <c r="D99" i="2"/>
  <c r="E99" i="2"/>
  <c r="F99" i="2" s="1"/>
  <c r="D100" i="2"/>
  <c r="E100" i="2"/>
  <c r="F100" i="2" s="1"/>
  <c r="D101" i="2"/>
  <c r="E101" i="2"/>
  <c r="F101" i="2" s="1"/>
  <c r="D102" i="2"/>
  <c r="E102" i="2"/>
  <c r="F102" i="2" s="1"/>
  <c r="D103" i="2"/>
  <c r="E103" i="2"/>
  <c r="F103" i="2" s="1"/>
  <c r="D104" i="2"/>
  <c r="E104" i="2"/>
  <c r="F104" i="2" s="1"/>
  <c r="D105" i="2"/>
  <c r="E105" i="2"/>
  <c r="F105" i="2" s="1"/>
  <c r="D106" i="2"/>
  <c r="E106" i="2"/>
  <c r="F106" i="2" s="1"/>
  <c r="D107" i="2"/>
  <c r="E107" i="2"/>
  <c r="F107" i="2" s="1"/>
  <c r="D108" i="2"/>
  <c r="E108" i="2"/>
  <c r="F108" i="2" s="1"/>
  <c r="D109" i="2"/>
  <c r="E109" i="2"/>
  <c r="F109" i="2" s="1"/>
  <c r="D110" i="2"/>
  <c r="E110" i="2"/>
  <c r="F110" i="2" s="1"/>
  <c r="D111" i="2"/>
  <c r="E111" i="2"/>
  <c r="F111" i="2" s="1"/>
  <c r="D112" i="2"/>
  <c r="E112" i="2"/>
  <c r="F112" i="2" s="1"/>
  <c r="D113" i="2"/>
  <c r="E113" i="2"/>
  <c r="F113" i="2" s="1"/>
  <c r="D114" i="2"/>
  <c r="E114" i="2"/>
  <c r="F114" i="2" s="1"/>
  <c r="D115" i="2"/>
  <c r="E115" i="2"/>
  <c r="F115" i="2" s="1"/>
  <c r="D116" i="2"/>
  <c r="E116" i="2"/>
  <c r="F116" i="2" s="1"/>
  <c r="D117" i="2"/>
  <c r="E117" i="2"/>
  <c r="F117" i="2" s="1"/>
  <c r="D118" i="2"/>
  <c r="E118" i="2"/>
  <c r="F118" i="2" s="1"/>
  <c r="D119" i="2"/>
  <c r="E119" i="2"/>
  <c r="F119" i="2" s="1"/>
  <c r="D120" i="2"/>
  <c r="E120" i="2"/>
  <c r="F120" i="2" s="1"/>
  <c r="D121" i="2"/>
  <c r="E121" i="2"/>
  <c r="F121" i="2" s="1"/>
  <c r="D122" i="2"/>
  <c r="E122" i="2"/>
  <c r="F122" i="2" s="1"/>
  <c r="D123" i="2"/>
  <c r="E123" i="2"/>
  <c r="F123" i="2" s="1"/>
  <c r="D124" i="2"/>
  <c r="E124" i="2"/>
  <c r="F124" i="2" s="1"/>
  <c r="D125" i="2"/>
  <c r="E125" i="2"/>
  <c r="F125" i="2" s="1"/>
  <c r="D126" i="2"/>
  <c r="E126" i="2"/>
  <c r="F126" i="2" s="1"/>
  <c r="D127" i="2"/>
  <c r="E127" i="2"/>
  <c r="F127" i="2" s="1"/>
  <c r="D128" i="2"/>
  <c r="E128" i="2"/>
  <c r="F128" i="2" s="1"/>
  <c r="D129" i="2"/>
  <c r="E129" i="2"/>
  <c r="F129" i="2" s="1"/>
  <c r="D130" i="2"/>
  <c r="E130" i="2"/>
  <c r="F130" i="2" s="1"/>
  <c r="D131" i="2"/>
  <c r="E131" i="2"/>
  <c r="F131" i="2" s="1"/>
  <c r="D132" i="2"/>
  <c r="E132" i="2"/>
  <c r="F132" i="2" s="1"/>
  <c r="D133" i="2"/>
  <c r="E133" i="2"/>
  <c r="F133" i="2" s="1"/>
  <c r="D134" i="2"/>
  <c r="E134" i="2"/>
  <c r="F134" i="2" s="1"/>
  <c r="D135" i="2"/>
  <c r="E135" i="2"/>
  <c r="F135" i="2" s="1"/>
  <c r="D136" i="2"/>
  <c r="E136" i="2"/>
  <c r="F136" i="2" s="1"/>
  <c r="D137" i="2"/>
  <c r="E137" i="2"/>
  <c r="F137" i="2" s="1"/>
  <c r="D138" i="2"/>
  <c r="E138" i="2"/>
  <c r="F138" i="2" s="1"/>
  <c r="D139" i="2"/>
  <c r="E139" i="2"/>
  <c r="F139" i="2" s="1"/>
  <c r="D140" i="2"/>
  <c r="E140" i="2"/>
  <c r="F140" i="2" s="1"/>
  <c r="D141" i="2"/>
  <c r="E141" i="2"/>
  <c r="F141" i="2" s="1"/>
  <c r="D142" i="2"/>
  <c r="E142" i="2"/>
  <c r="F142" i="2" s="1"/>
  <c r="D143" i="2"/>
  <c r="E143" i="2"/>
  <c r="F143" i="2" s="1"/>
  <c r="D144" i="2"/>
  <c r="E144" i="2"/>
  <c r="F144" i="2" s="1"/>
  <c r="D145" i="2"/>
  <c r="E145" i="2"/>
  <c r="F145" i="2" s="1"/>
  <c r="D146" i="2"/>
  <c r="E146" i="2"/>
  <c r="F146" i="2" s="1"/>
  <c r="D147" i="2"/>
  <c r="E147" i="2"/>
  <c r="F147" i="2" s="1"/>
  <c r="D148" i="2"/>
  <c r="E148" i="2"/>
  <c r="F148" i="2" s="1"/>
  <c r="D149" i="2"/>
  <c r="E149" i="2"/>
  <c r="F149" i="2" s="1"/>
  <c r="D150" i="2"/>
  <c r="E150" i="2"/>
  <c r="F150" i="2" s="1"/>
  <c r="D151" i="2"/>
  <c r="E151" i="2"/>
  <c r="F151" i="2" s="1"/>
  <c r="D152" i="2"/>
  <c r="E152" i="2"/>
  <c r="F152" i="2" s="1"/>
  <c r="D153" i="2"/>
  <c r="E153" i="2"/>
  <c r="F153" i="2" s="1"/>
  <c r="D154" i="2"/>
  <c r="E154" i="2"/>
  <c r="F154" i="2" s="1"/>
  <c r="D155" i="2"/>
  <c r="E155" i="2"/>
  <c r="F155" i="2" s="1"/>
  <c r="D156" i="2"/>
  <c r="E156" i="2"/>
  <c r="F156" i="2" s="1"/>
  <c r="D157" i="2"/>
  <c r="E157" i="2"/>
  <c r="F157" i="2" s="1"/>
  <c r="D158" i="2"/>
  <c r="E158" i="2"/>
  <c r="F158" i="2" s="1"/>
  <c r="D159" i="2"/>
  <c r="E159" i="2"/>
  <c r="F159" i="2" s="1"/>
  <c r="D160" i="2"/>
  <c r="E160" i="2"/>
  <c r="F160" i="2" s="1"/>
  <c r="D161" i="2"/>
  <c r="E161" i="2"/>
  <c r="F161" i="2" s="1"/>
  <c r="D162" i="2"/>
  <c r="E162" i="2"/>
  <c r="F162" i="2" s="1"/>
  <c r="D163" i="2"/>
  <c r="E163" i="2"/>
  <c r="F163" i="2" s="1"/>
  <c r="D164" i="2"/>
  <c r="E164" i="2"/>
  <c r="F164" i="2" s="1"/>
  <c r="D165" i="2"/>
  <c r="E165" i="2"/>
  <c r="F165" i="2" s="1"/>
  <c r="D166" i="2"/>
  <c r="E166" i="2"/>
  <c r="F166" i="2" s="1"/>
  <c r="D167" i="2"/>
  <c r="E167" i="2"/>
  <c r="F167" i="2" s="1"/>
  <c r="D168" i="2"/>
  <c r="E168" i="2"/>
  <c r="F168" i="2" s="1"/>
  <c r="D169" i="2"/>
  <c r="E169" i="2"/>
  <c r="F169" i="2" s="1"/>
  <c r="D170" i="2"/>
  <c r="E170" i="2"/>
  <c r="F170" i="2" s="1"/>
  <c r="D171" i="2"/>
  <c r="E171" i="2"/>
  <c r="F171" i="2" s="1"/>
  <c r="D172" i="2"/>
  <c r="E172" i="2"/>
  <c r="F172" i="2" s="1"/>
  <c r="D173" i="2"/>
  <c r="E173" i="2"/>
  <c r="F173" i="2" s="1"/>
  <c r="D174" i="2"/>
  <c r="E174" i="2"/>
  <c r="F174" i="2" s="1"/>
  <c r="D175" i="2"/>
  <c r="E175" i="2"/>
  <c r="F175" i="2" s="1"/>
  <c r="D176" i="2"/>
  <c r="E176" i="2"/>
  <c r="F176" i="2" s="1"/>
  <c r="D177" i="2"/>
  <c r="E177" i="2"/>
  <c r="F177" i="2" s="1"/>
  <c r="D178" i="2"/>
  <c r="E178" i="2"/>
  <c r="F178" i="2" s="1"/>
  <c r="D179" i="2"/>
  <c r="E179" i="2"/>
  <c r="F179" i="2" s="1"/>
  <c r="D180" i="2"/>
  <c r="E180" i="2"/>
  <c r="F180" i="2" s="1"/>
  <c r="D181" i="2"/>
  <c r="E181" i="2"/>
  <c r="F181" i="2" s="1"/>
  <c r="D182" i="2"/>
  <c r="E182" i="2"/>
  <c r="F182" i="2" s="1"/>
  <c r="D183" i="2"/>
  <c r="E183" i="2"/>
  <c r="F183" i="2" s="1"/>
  <c r="D184" i="2"/>
  <c r="E184" i="2"/>
  <c r="F184" i="2" s="1"/>
  <c r="D185" i="2"/>
  <c r="E185" i="2"/>
  <c r="F185" i="2" s="1"/>
  <c r="D186" i="2"/>
  <c r="E186" i="2"/>
  <c r="F186" i="2" s="1"/>
  <c r="D187" i="2"/>
  <c r="E187" i="2"/>
  <c r="F187" i="2" s="1"/>
  <c r="D188" i="2"/>
  <c r="E188" i="2"/>
  <c r="F188" i="2" s="1"/>
  <c r="D189" i="2"/>
  <c r="E189" i="2"/>
  <c r="F189" i="2" s="1"/>
  <c r="D190" i="2"/>
  <c r="E190" i="2"/>
  <c r="F190" i="2" s="1"/>
  <c r="D191" i="2"/>
  <c r="E191" i="2"/>
  <c r="F191" i="2" s="1"/>
  <c r="D192" i="2"/>
  <c r="E192" i="2"/>
  <c r="F192" i="2" s="1"/>
  <c r="D193" i="2"/>
  <c r="E193" i="2"/>
  <c r="F193" i="2" s="1"/>
  <c r="D194" i="2"/>
  <c r="E194" i="2"/>
  <c r="F194" i="2" s="1"/>
  <c r="D195" i="2"/>
  <c r="E195" i="2"/>
  <c r="F195" i="2" s="1"/>
  <c r="D196" i="2"/>
  <c r="E196" i="2"/>
  <c r="F196" i="2" s="1"/>
  <c r="D197" i="2"/>
  <c r="E197" i="2"/>
  <c r="F197" i="2" s="1"/>
  <c r="D198" i="2"/>
  <c r="E198" i="2"/>
  <c r="F198" i="2" s="1"/>
  <c r="D199" i="2"/>
  <c r="E199" i="2"/>
  <c r="F199" i="2" s="1"/>
  <c r="D200" i="2"/>
  <c r="E200" i="2"/>
  <c r="F200" i="2" s="1"/>
  <c r="D201" i="2"/>
  <c r="E201" i="2"/>
  <c r="F201" i="2" s="1"/>
  <c r="D202" i="2"/>
  <c r="E202" i="2"/>
  <c r="F202" i="2" s="1"/>
  <c r="D203" i="2"/>
  <c r="E203" i="2"/>
  <c r="F203" i="2" s="1"/>
  <c r="D204" i="2"/>
  <c r="E204" i="2"/>
  <c r="F204" i="2" s="1"/>
  <c r="D205" i="2"/>
  <c r="E205" i="2"/>
  <c r="F205" i="2" s="1"/>
  <c r="D206" i="2"/>
  <c r="E206" i="2"/>
  <c r="F206" i="2" s="1"/>
  <c r="D207" i="2"/>
  <c r="E207" i="2"/>
  <c r="F207" i="2" s="1"/>
  <c r="D208" i="2"/>
  <c r="E208" i="2"/>
  <c r="F208" i="2" s="1"/>
  <c r="D209" i="2"/>
  <c r="E209" i="2"/>
  <c r="F209" i="2" s="1"/>
  <c r="D210" i="2"/>
  <c r="E210" i="2"/>
  <c r="F210" i="2" s="1"/>
  <c r="D211" i="2"/>
  <c r="E211" i="2"/>
  <c r="F211" i="2" s="1"/>
  <c r="D212" i="2"/>
  <c r="E212" i="2"/>
  <c r="F212" i="2" s="1"/>
  <c r="D213" i="2"/>
  <c r="E213" i="2"/>
  <c r="F213" i="2" s="1"/>
  <c r="D214" i="2"/>
  <c r="E214" i="2"/>
  <c r="F214" i="2" s="1"/>
  <c r="D215" i="2"/>
  <c r="E215" i="2"/>
  <c r="F215" i="2" s="1"/>
  <c r="D216" i="2"/>
  <c r="E216" i="2"/>
  <c r="F216" i="2" s="1"/>
  <c r="D217" i="2"/>
  <c r="E217" i="2"/>
  <c r="F217" i="2" s="1"/>
  <c r="D218" i="2"/>
  <c r="E218" i="2"/>
  <c r="F218" i="2" s="1"/>
  <c r="D219" i="2"/>
  <c r="E219" i="2"/>
  <c r="F219" i="2" s="1"/>
  <c r="D220" i="2"/>
  <c r="E220" i="2"/>
  <c r="F220" i="2" s="1"/>
  <c r="D221" i="2"/>
  <c r="E221" i="2"/>
  <c r="F221" i="2" s="1"/>
  <c r="D222" i="2"/>
  <c r="E222" i="2"/>
  <c r="F222" i="2" s="1"/>
  <c r="D223" i="2"/>
  <c r="E223" i="2"/>
  <c r="F223" i="2" s="1"/>
  <c r="D224" i="2"/>
  <c r="E224" i="2"/>
  <c r="F224" i="2" s="1"/>
  <c r="D225" i="2"/>
  <c r="E225" i="2"/>
  <c r="F225" i="2" s="1"/>
  <c r="D226" i="2"/>
  <c r="E226" i="2"/>
  <c r="F226" i="2" s="1"/>
  <c r="D227" i="2"/>
  <c r="E227" i="2"/>
  <c r="F227" i="2" s="1"/>
  <c r="D228" i="2"/>
  <c r="E228" i="2"/>
  <c r="F228" i="2" s="1"/>
  <c r="D229" i="2"/>
  <c r="E229" i="2"/>
  <c r="F229" i="2" s="1"/>
  <c r="D230" i="2"/>
  <c r="E230" i="2"/>
  <c r="F230" i="2" s="1"/>
  <c r="D231" i="2"/>
  <c r="E231" i="2"/>
  <c r="F231" i="2" s="1"/>
  <c r="D232" i="2"/>
  <c r="E232" i="2"/>
  <c r="F232" i="2" s="1"/>
  <c r="D233" i="2"/>
  <c r="E233" i="2"/>
  <c r="F233" i="2" s="1"/>
  <c r="D234" i="2"/>
  <c r="E234" i="2"/>
  <c r="F234" i="2" s="1"/>
  <c r="D235" i="2"/>
  <c r="E235" i="2"/>
  <c r="F235" i="2" s="1"/>
  <c r="D236" i="2"/>
  <c r="E236" i="2"/>
  <c r="F236" i="2" s="1"/>
  <c r="D237" i="2"/>
  <c r="E237" i="2"/>
  <c r="F237" i="2" s="1"/>
  <c r="D238" i="2"/>
  <c r="E238" i="2"/>
  <c r="F238" i="2" s="1"/>
  <c r="D239" i="2"/>
  <c r="E239" i="2"/>
  <c r="F239" i="2" s="1"/>
  <c r="D240" i="2"/>
  <c r="E240" i="2"/>
  <c r="F240" i="2" s="1"/>
  <c r="D241" i="2"/>
  <c r="E241" i="2"/>
  <c r="F241" i="2" s="1"/>
  <c r="D242" i="2"/>
  <c r="E242" i="2"/>
  <c r="F242" i="2" s="1"/>
  <c r="D243" i="2"/>
  <c r="E243" i="2"/>
  <c r="F243" i="2" s="1"/>
  <c r="D244" i="2"/>
  <c r="E244" i="2"/>
  <c r="F244" i="2" s="1"/>
  <c r="D245" i="2"/>
  <c r="E245" i="2"/>
  <c r="F245" i="2" s="1"/>
  <c r="D246" i="2"/>
  <c r="E246" i="2"/>
  <c r="F246" i="2" s="1"/>
  <c r="D247" i="2"/>
  <c r="E247" i="2"/>
  <c r="F247" i="2" s="1"/>
  <c r="D248" i="2"/>
  <c r="E248" i="2"/>
  <c r="F248" i="2" s="1"/>
  <c r="D249" i="2"/>
  <c r="E249" i="2"/>
  <c r="F249" i="2" s="1"/>
  <c r="D250" i="2"/>
  <c r="E250" i="2"/>
  <c r="F250" i="2" s="1"/>
  <c r="D251" i="2"/>
  <c r="E251" i="2"/>
  <c r="F251" i="2" s="1"/>
  <c r="D252" i="2"/>
  <c r="E252" i="2"/>
  <c r="F252" i="2" s="1"/>
  <c r="D253" i="2"/>
  <c r="E253" i="2"/>
  <c r="F253" i="2" s="1"/>
  <c r="D254" i="2"/>
  <c r="E254" i="2"/>
  <c r="F254" i="2" s="1"/>
  <c r="D255" i="2"/>
  <c r="E255" i="2"/>
  <c r="F255" i="2" s="1"/>
  <c r="D256" i="2"/>
  <c r="E256" i="2"/>
  <c r="F256" i="2" s="1"/>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J12"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D24" i="50" l="1"/>
  <c r="J6" i="2"/>
  <c r="J7" i="2"/>
  <c r="J8" i="2"/>
  <c r="J9" i="2"/>
  <c r="J10" i="2"/>
  <c r="J11"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E6" i="4" l="1"/>
  <c r="E7" i="4"/>
  <c r="E8" i="4"/>
  <c r="E9" i="4"/>
  <c r="E10" i="4"/>
  <c r="E11" i="4"/>
  <c r="E12" i="4"/>
  <c r="E13" i="4"/>
  <c r="E14" i="4"/>
  <c r="E15" i="4"/>
  <c r="C124" i="2" l="1"/>
  <c r="C220" i="2"/>
  <c r="C101" i="2"/>
  <c r="C6" i="2"/>
  <c r="C150" i="2"/>
  <c r="C7" i="2"/>
  <c r="C116" i="2"/>
  <c r="C140" i="2"/>
  <c r="C33" i="2"/>
  <c r="C201" i="2"/>
  <c r="C225" i="2"/>
  <c r="C249" i="2"/>
  <c r="C214" i="2"/>
  <c r="C35" i="2"/>
  <c r="C72" i="2"/>
  <c r="C180" i="2"/>
  <c r="C240" i="2"/>
  <c r="C133" i="2"/>
  <c r="C38" i="2"/>
  <c r="C242" i="2"/>
  <c r="C254" i="2"/>
  <c r="C171" i="2"/>
  <c r="C219" i="2"/>
  <c r="C231" i="2"/>
  <c r="C40" i="2"/>
  <c r="C196" i="2"/>
  <c r="C256" i="2"/>
  <c r="C126" i="2"/>
  <c r="C31" i="2"/>
  <c r="C43" i="2"/>
  <c r="C115" i="2"/>
  <c r="C199" i="2"/>
  <c r="C211" i="2"/>
  <c r="C32" i="2"/>
  <c r="C152" i="2"/>
  <c r="C212" i="2"/>
  <c r="C248" i="2"/>
  <c r="C93" i="2"/>
  <c r="C130" i="2"/>
  <c r="C10" i="2"/>
  <c r="C83" i="2"/>
  <c r="C179" i="2"/>
  <c r="C239" i="2"/>
  <c r="C24" i="2"/>
  <c r="C26" i="2"/>
  <c r="C182" i="2"/>
  <c r="C230" i="2"/>
  <c r="C15" i="2"/>
  <c r="C99" i="2"/>
  <c r="C243" i="2"/>
  <c r="C255" i="2"/>
  <c r="C65" i="2"/>
  <c r="C185" i="2"/>
  <c r="C221" i="2"/>
  <c r="C78" i="2"/>
  <c r="C174" i="2"/>
  <c r="C246" i="2"/>
  <c r="C91" i="2"/>
  <c r="C223" i="2"/>
  <c r="C92" i="2"/>
  <c r="C128" i="2"/>
  <c r="C188" i="2"/>
  <c r="C69" i="2"/>
  <c r="C177" i="2"/>
  <c r="C22" i="2"/>
  <c r="C46" i="2"/>
  <c r="C58" i="2"/>
  <c r="C70" i="2"/>
  <c r="C226" i="2"/>
  <c r="C107" i="2"/>
  <c r="C227" i="2"/>
  <c r="C251" i="2"/>
  <c r="C252" i="2"/>
  <c r="C50" i="2"/>
  <c r="C86" i="2"/>
  <c r="C110" i="2"/>
  <c r="C170" i="2"/>
  <c r="C51" i="2"/>
  <c r="C76" i="2"/>
  <c r="C112" i="2"/>
  <c r="C184" i="2"/>
  <c r="C54" i="2"/>
  <c r="C90" i="2"/>
  <c r="C138" i="2"/>
  <c r="C162" i="2"/>
  <c r="C222" i="2"/>
  <c r="C175" i="2"/>
  <c r="C56" i="2"/>
  <c r="C176" i="2"/>
  <c r="C213" i="2"/>
  <c r="C34" i="2"/>
  <c r="C118" i="2"/>
  <c r="C142" i="2"/>
  <c r="C47" i="2"/>
  <c r="C12" i="2"/>
  <c r="C204" i="2"/>
  <c r="C97" i="2"/>
  <c r="C229" i="2"/>
  <c r="C134" i="2"/>
  <c r="C194" i="2"/>
  <c r="C39" i="2"/>
  <c r="C111" i="2"/>
  <c r="C207" i="2"/>
  <c r="C28" i="2"/>
  <c r="C17" i="2"/>
  <c r="C29" i="2"/>
  <c r="C89" i="2"/>
  <c r="C209" i="2"/>
  <c r="C19" i="2"/>
  <c r="C55" i="2"/>
  <c r="C67" i="2"/>
  <c r="C79" i="2"/>
  <c r="C151" i="2"/>
  <c r="C20" i="2"/>
  <c r="C44" i="2"/>
  <c r="C68" i="2"/>
  <c r="C236" i="2"/>
  <c r="C105" i="2"/>
  <c r="C129" i="2"/>
  <c r="C141" i="2"/>
  <c r="C71" i="2"/>
  <c r="C95" i="2"/>
  <c r="C191" i="2"/>
  <c r="C203" i="2"/>
  <c r="C48" i="2"/>
  <c r="C169" i="2"/>
  <c r="C205" i="2"/>
  <c r="C148" i="2"/>
  <c r="C172" i="2"/>
  <c r="C232" i="2"/>
  <c r="C244" i="2"/>
  <c r="C77" i="2"/>
  <c r="C149" i="2"/>
  <c r="C197" i="2"/>
  <c r="C233" i="2"/>
  <c r="C198" i="2"/>
  <c r="C104" i="2"/>
  <c r="C189" i="2"/>
  <c r="C82" i="2"/>
  <c r="C238" i="2"/>
  <c r="C155" i="2"/>
  <c r="C167" i="2"/>
  <c r="C61" i="2"/>
  <c r="C121" i="2"/>
  <c r="C181" i="2"/>
  <c r="C193" i="2"/>
  <c r="C253" i="2"/>
  <c r="C62" i="2"/>
  <c r="C146" i="2"/>
  <c r="C218" i="2"/>
  <c r="C27" i="2"/>
  <c r="C195" i="2"/>
  <c r="C88" i="2"/>
  <c r="C53" i="2"/>
  <c r="C125" i="2"/>
  <c r="C137" i="2"/>
  <c r="C18" i="2"/>
  <c r="C42" i="2"/>
  <c r="C234" i="2"/>
  <c r="C8" i="2"/>
  <c r="C164" i="2"/>
  <c r="C45" i="2"/>
  <c r="C57" i="2"/>
  <c r="C202" i="2"/>
  <c r="C215" i="2"/>
  <c r="C60" i="2"/>
  <c r="C96" i="2"/>
  <c r="C108" i="2"/>
  <c r="C228" i="2"/>
  <c r="C157" i="2"/>
  <c r="C14" i="2"/>
  <c r="C74" i="2"/>
  <c r="C98" i="2"/>
  <c r="C122" i="2"/>
  <c r="C87" i="2"/>
  <c r="C123" i="2"/>
  <c r="C147" i="2"/>
  <c r="C159" i="2"/>
  <c r="C52" i="2"/>
  <c r="C64" i="2"/>
  <c r="C136" i="2"/>
  <c r="C160" i="2"/>
  <c r="C208" i="2"/>
  <c r="C102" i="2"/>
  <c r="C103" i="2"/>
  <c r="C139" i="2"/>
  <c r="C200" i="2"/>
  <c r="C224" i="2"/>
  <c r="C21" i="2"/>
  <c r="C81" i="2"/>
  <c r="C94" i="2"/>
  <c r="C106" i="2"/>
  <c r="C154" i="2"/>
  <c r="C11" i="2"/>
  <c r="C36" i="2"/>
  <c r="C120" i="2"/>
  <c r="C168" i="2"/>
  <c r="C37" i="2"/>
  <c r="C49" i="2"/>
  <c r="C109" i="2"/>
  <c r="C63" i="2"/>
  <c r="C75" i="2"/>
  <c r="C135" i="2"/>
  <c r="C16" i="2"/>
  <c r="C161" i="2"/>
  <c r="C173" i="2"/>
  <c r="C30" i="2"/>
  <c r="C66" i="2"/>
  <c r="C186" i="2"/>
  <c r="C210" i="2"/>
  <c r="C127" i="2"/>
  <c r="C235" i="2"/>
  <c r="C247" i="2"/>
  <c r="C9" i="2"/>
  <c r="C117" i="2"/>
  <c r="C190" i="2"/>
  <c r="C250" i="2"/>
  <c r="C119" i="2"/>
  <c r="C131" i="2"/>
  <c r="C84" i="2"/>
  <c r="C192" i="2"/>
  <c r="C13" i="2"/>
  <c r="C25" i="2"/>
  <c r="C85" i="2"/>
  <c r="C145" i="2"/>
  <c r="C158" i="2"/>
  <c r="C183" i="2"/>
  <c r="C100" i="2"/>
  <c r="C41" i="2"/>
  <c r="C113" i="2"/>
  <c r="C245" i="2"/>
  <c r="C114" i="2"/>
  <c r="C163" i="2"/>
  <c r="C187" i="2"/>
  <c r="C80" i="2"/>
  <c r="C153" i="2"/>
  <c r="C165" i="2"/>
  <c r="C237" i="2"/>
  <c r="C166" i="2"/>
  <c r="C178" i="2"/>
  <c r="C23" i="2"/>
  <c r="C59" i="2"/>
  <c r="C143" i="2"/>
  <c r="C132" i="2"/>
  <c r="C144" i="2"/>
  <c r="C156" i="2"/>
  <c r="C216" i="2"/>
  <c r="C73" i="2"/>
  <c r="C217" i="2"/>
  <c r="C241" i="2"/>
  <c r="C206"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40E1AE-3606-411C-8690-9BD7814E117A}" keepAlive="1" name="Query - call_center_data" description="Connection to the 'call_center_data' query in the workbook." type="5" refreshedVersion="7" background="1" saveData="1">
    <dbPr connection="Provider=Microsoft.Mashup.OleDb.1;Data Source=$Workbook$;Location=call_center_data;Extended Properties=&quot;&quot;" command="SELECT * FROM [call_center_data]"/>
  </connection>
  <connection id="2" xr16:uid="{08725C1F-B012-49D7-BFE8-2DAC1F7F29A9}" keepAlive="1" name="Query - call_center_data (10)" description="Connection to the 'call_center_data (10)' query in the workbook." type="5" refreshedVersion="7" background="1" saveData="1">
    <dbPr connection="Provider=Microsoft.Mashup.OleDb.1;Data Source=$Workbook$;Location=&quot;call_center_data (10)&quot;;Extended Properties=&quot;&quot;" command="SELECT * FROM [call_center_data (10)]"/>
  </connection>
  <connection id="3" xr16:uid="{ACD4845D-2B3E-4C1E-9AB3-B8055E97F2FD}" keepAlive="1" name="Query - call_center_data (11)" description="Connection to the 'call_center_data (11)' query in the workbook." type="5" refreshedVersion="7" background="1" saveData="1">
    <dbPr connection="Provider=Microsoft.Mashup.OleDb.1;Data Source=$Workbook$;Location=&quot;call_center_data (11)&quot;;Extended Properties=&quot;&quot;" command="SELECT * FROM [call_center_data (11)]"/>
  </connection>
  <connection id="4" xr16:uid="{9ADA57B4-EB67-46BC-BBB4-2708064C06F1}" keepAlive="1" name="Query - call_center_data (12)" description="Connection to the 'call_center_data (12)' query in the workbook." type="5" refreshedVersion="7" background="1" saveData="1">
    <dbPr connection="Provider=Microsoft.Mashup.OleDb.1;Data Source=$Workbook$;Location=&quot;call_center_data (12)&quot;;Extended Properties=&quot;&quot;" command="SELECT * FROM [call_center_data (12)]"/>
  </connection>
  <connection id="5" xr16:uid="{D06D1EF5-45EB-430F-94F1-4CBE22FE5788}" keepAlive="1" name="Query - call_center_data (2)" description="Connection to the 'call_center_data (2)' query in the workbook." type="5" refreshedVersion="7" background="1" saveData="1">
    <dbPr connection="Provider=Microsoft.Mashup.OleDb.1;Data Source=$Workbook$;Location=&quot;call_center_data (2)&quot;;Extended Properties=&quot;&quot;" command="SELECT * FROM [call_center_data (2)]"/>
  </connection>
  <connection id="6" xr16:uid="{73DB41FD-7527-41FF-9824-39B70608F6F3}" keepAlive="1" name="Query - call_center_data (3)" description="Connection to the 'call_center_data (3)' query in the workbook." type="5" refreshedVersion="7" background="1" saveData="1">
    <dbPr connection="Provider=Microsoft.Mashup.OleDb.1;Data Source=$Workbook$;Location=&quot;call_center_data (3)&quot;;Extended Properties=&quot;&quot;" command="SELECT * FROM [call_center_data (3)]"/>
  </connection>
  <connection id="7" xr16:uid="{F3AEFAC6-2E43-4339-83B0-7A5C41834FFD}" keepAlive="1" name="Query - call_center_data (4)" description="Connection to the 'call_center_data (4)' query in the workbook." type="5" refreshedVersion="7" background="1" saveData="1">
    <dbPr connection="Provider=Microsoft.Mashup.OleDb.1;Data Source=$Workbook$;Location=&quot;call_center_data (4)&quot;;Extended Properties=&quot;&quot;" command="SELECT * FROM [call_center_data (4)]"/>
  </connection>
  <connection id="8" xr16:uid="{17CE6DCC-EE3E-49EE-8228-6EB057F706C6}" keepAlive="1" name="Query - call_center_data (5)" description="Connection to the 'call_center_data (5)' query in the workbook." type="5" refreshedVersion="7" background="1" saveData="1">
    <dbPr connection="Provider=Microsoft.Mashup.OleDb.1;Data Source=$Workbook$;Location=&quot;call_center_data (5)&quot;;Extended Properties=&quot;&quot;" command="SELECT * FROM [call_center_data (5)]"/>
  </connection>
  <connection id="9" xr16:uid="{682FDCF0-66BF-4ECB-8C67-316C7D3E42BD}" keepAlive="1" name="Query - call_center_data (6)" description="Connection to the 'call_center_data (6)' query in the workbook." type="5" refreshedVersion="7" background="1" saveData="1">
    <dbPr connection="Provider=Microsoft.Mashup.OleDb.1;Data Source=$Workbook$;Location=&quot;call_center_data (6)&quot;;Extended Properties=&quot;&quot;" command="SELECT * FROM [call_center_data (6)]"/>
  </connection>
  <connection id="10" xr16:uid="{E0ACED12-5E3B-4534-8ADA-688D49329893}" keepAlive="1" name="Query - call_center_data (7)" description="Connection to the 'call_center_data (7)' query in the workbook." type="5" refreshedVersion="7" background="1" saveData="1">
    <dbPr connection="Provider=Microsoft.Mashup.OleDb.1;Data Source=$Workbook$;Location=&quot;call_center_data (7)&quot;;Extended Properties=&quot;&quot;" command="SELECT * FROM [call_center_data (7)]"/>
  </connection>
  <connection id="11" xr16:uid="{8D07D29D-F8E1-42AD-9599-0751D1A4F250}" keepAlive="1" name="Query - call_center_data (8)" description="Connection to the 'call_center_data (8)' query in the workbook." type="5" refreshedVersion="7" background="1" saveData="1">
    <dbPr connection="Provider=Microsoft.Mashup.OleDb.1;Data Source=$Workbook$;Location=&quot;call_center_data (8)&quot;;Extended Properties=&quot;&quot;" command="SELECT * FROM [call_center_data (8)]"/>
  </connection>
  <connection id="12" xr16:uid="{0F99CEBC-52D7-4AD8-9C7B-67004D679AA7}" keepAlive="1" name="Query - call_center_data (9)" description="Connection to the 'call_center_data (9)' query in the workbook." type="5" refreshedVersion="7" background="1" saveData="1">
    <dbPr connection="Provider=Microsoft.Mashup.OleDb.1;Data Source=$Workbook$;Location=&quot;call_center_data (9)&quot;;Extended Properties=&quot;&quot;" command="SELECT * FROM [call_center_data (9)]"/>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<sst xmlns="http://schemas.openxmlformats.org/spreadsheetml/2006/main" count="280" uniqueCount="109">
  <si>
    <t>agent_id</t>
  </si>
  <si>
    <t>date</t>
  </si>
  <si>
    <t>product_id</t>
  </si>
  <si>
    <t>calls_handled</t>
  </si>
  <si>
    <t>avg_queue_time</t>
  </si>
  <si>
    <t>Customer_satisfaction</t>
  </si>
  <si>
    <t>Agent ID</t>
  </si>
  <si>
    <t>First Name</t>
  </si>
  <si>
    <t>Last Name</t>
  </si>
  <si>
    <t>Hire Date</t>
  </si>
  <si>
    <t>Supervisor</t>
  </si>
  <si>
    <t>Lisa</t>
  </si>
  <si>
    <t>Diaz</t>
  </si>
  <si>
    <t>Carol Mario</t>
  </si>
  <si>
    <t>Josh</t>
  </si>
  <si>
    <t>Vega</t>
  </si>
  <si>
    <t>Cecille</t>
  </si>
  <si>
    <t>Chen</t>
  </si>
  <si>
    <t>Lester De Mesa</t>
  </si>
  <si>
    <t>Jay</t>
  </si>
  <si>
    <t>Alvarez</t>
  </si>
  <si>
    <t>Eric</t>
  </si>
  <si>
    <t>Molina</t>
  </si>
  <si>
    <t>Jane</t>
  </si>
  <si>
    <t>Hernandez</t>
  </si>
  <si>
    <t>Peter</t>
  </si>
  <si>
    <t>Rivera</t>
  </si>
  <si>
    <t>Rachel</t>
  </si>
  <si>
    <t>Delos Santos</t>
  </si>
  <si>
    <t>Cherry</t>
  </si>
  <si>
    <t>Castillo</t>
  </si>
  <si>
    <t>Mark</t>
  </si>
  <si>
    <t>Ventura</t>
  </si>
  <si>
    <t>Product_ID</t>
  </si>
  <si>
    <t>Product_Name</t>
  </si>
  <si>
    <t>Call_Review</t>
  </si>
  <si>
    <t>Personal Loan</t>
  </si>
  <si>
    <t>5 business days</t>
  </si>
  <si>
    <t>Car Loan</t>
  </si>
  <si>
    <t>7 business days</t>
  </si>
  <si>
    <t>Property Loan</t>
  </si>
  <si>
    <t>10 business days</t>
  </si>
  <si>
    <t>Full Name</t>
  </si>
  <si>
    <t>Name</t>
  </si>
  <si>
    <t>product_name</t>
  </si>
  <si>
    <t>supervisor</t>
  </si>
  <si>
    <t>tenure</t>
  </si>
  <si>
    <t>cut off date</t>
  </si>
  <si>
    <t>weekday</t>
  </si>
  <si>
    <t>Mean</t>
  </si>
  <si>
    <t>Standard Error</t>
  </si>
  <si>
    <t>Median</t>
  </si>
  <si>
    <t>Mode</t>
  </si>
  <si>
    <t>Standard Deviation</t>
  </si>
  <si>
    <t>Sample Variance</t>
  </si>
  <si>
    <t>Kurtosis</t>
  </si>
  <si>
    <t>Skewness</t>
  </si>
  <si>
    <t>Range</t>
  </si>
  <si>
    <t>Minimum</t>
  </si>
  <si>
    <t>Maximum</t>
  </si>
  <si>
    <t>Sum</t>
  </si>
  <si>
    <t>Count</t>
  </si>
  <si>
    <t>Summary Statistics</t>
  </si>
  <si>
    <t>avg_ht</t>
  </si>
  <si>
    <t>avg_ht_in_minutes</t>
  </si>
  <si>
    <t>Row Labels</t>
  </si>
  <si>
    <t>Cecille Chen</t>
  </si>
  <si>
    <t>Cherry Castillo</t>
  </si>
  <si>
    <t>Eric Molina</t>
  </si>
  <si>
    <t>Jane Hernandez</t>
  </si>
  <si>
    <t>Jay Alvarez</t>
  </si>
  <si>
    <t>Josh Vega</t>
  </si>
  <si>
    <t>Lisa Diaz</t>
  </si>
  <si>
    <t>Mark Ventura</t>
  </si>
  <si>
    <t>Peter Rivera</t>
  </si>
  <si>
    <t>Rachel Delos Santos</t>
  </si>
  <si>
    <t>Grand Total</t>
  </si>
  <si>
    <t>Average of tenure</t>
  </si>
  <si>
    <t>Average of Customer_satisfaction</t>
  </si>
  <si>
    <t>Sun</t>
  </si>
  <si>
    <t>Mon</t>
  </si>
  <si>
    <t>Tue</t>
  </si>
  <si>
    <t>Wed</t>
  </si>
  <si>
    <t>Thu</t>
  </si>
  <si>
    <t>Fri</t>
  </si>
  <si>
    <t>Sat</t>
  </si>
  <si>
    <t>Sum of calls_handled</t>
  </si>
  <si>
    <t>Average of avg_queue_time</t>
  </si>
  <si>
    <t>Average of avg_ht_in_minutes</t>
  </si>
  <si>
    <t>Agent's Name</t>
  </si>
  <si>
    <t>Date of Hire</t>
  </si>
  <si>
    <t>Tenure</t>
  </si>
  <si>
    <t>Total Calls Handled</t>
  </si>
  <si>
    <t>Average Calls Per Day</t>
  </si>
  <si>
    <t>Average Handling Time (In Minutes)</t>
  </si>
  <si>
    <t>Average Queue Time (In Seconds)</t>
  </si>
  <si>
    <t>Average Customer Ratings</t>
  </si>
  <si>
    <t>Agent's Information</t>
  </si>
  <si>
    <t>Agent's Performance Metrics</t>
  </si>
  <si>
    <t>Performance By Products</t>
  </si>
  <si>
    <t>Average</t>
  </si>
  <si>
    <t>Select Agent</t>
  </si>
  <si>
    <t>Average of Customer Rating</t>
  </si>
  <si>
    <t>1-6</t>
  </si>
  <si>
    <t>7-12</t>
  </si>
  <si>
    <t>13-18</t>
  </si>
  <si>
    <t>19-24</t>
  </si>
  <si>
    <t>Average of calls_handled</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</si>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</sst>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m/dd/yy;@"/>
  </numFmts>
  <fonts count="9" x14ac:knownFonts="1">
    <font>
      <sz val="11"/>
      <color theme="1"/>
      <name val="Calibri"/>
      <family val="2"/>
      <scheme val="minor"/>
    </font>
    <font>
      <sz val="8"/>
      <name val="Calibri"/>
      <family val="2"/>
      <scheme val="minor"/>
    </font>
    <font>
      <i/>
      <sz val="11"/>
      <color theme="1"/>
      <name val="Calibri"/>
      <family val="2"/>
      <scheme val="minor"/>
    </font>
    <font>
      <b/>
      <sz val="11"/>
      <color theme="0"/>
      <name val="Calibri"/>
      <family val="2"/>
      <scheme val="minor"/>
    </font>
    <font>
      <b/>
      <i/>
      <sz val="11"/>
      <color theme="1"/>
      <name val="Calibri"/>
      <family val="2"/>
      <scheme val="minor"/>
    </font>
    <font>
      <sz val="11"/>
      <color rgb="FF000000"/>
      <name val="Calibri"/>
      <family val="2"/>
    </font>
    <font>
      <b/>
      <sz val="11"/>
      <color theme="1"/>
      <name val="Calibri"/>
      <family val="2"/>
      <scheme val="minor"/>
    </font>
    <font>
      <sz val="11"/>
      <color theme="0"/>
      <name val="Calibri"/>
      <family val="2"/>
      <scheme val="minor"/>
    </font>
    <font>
      <u/>
      <sz val="11"/>
      <color theme="1"/>
      <name val="Calibri"/>
      <family val="2"/>
      <scheme val="minor"/>
    </font>
  </fonts>
  <fills count="6">
    <fill>
      <patternFill patternType="none"/>
    </fill>
    <fill>
      <patternFill patternType="gray125"/>
    </fill>
    <fill>
      <patternFill patternType="solid">
        <fgColor rgb="FF2A3E68"/>
        <bgColor indexed="64"/>
      </patternFill>
    </fill>
    <fill>
      <patternFill patternType="solid">
        <fgColor theme="0"/>
        <bgColor indexed="64"/>
      </patternFill>
    </fill>
    <fill>
      <patternFill patternType="solid">
        <fgColor theme="0" tint="-0.14999847407452621"/>
        <bgColor indexed="64"/>
      </patternFill>
    </fill>
    <fill>
      <patternFill patternType="solid">
        <fgColor rgb="FF354F52"/>
        <bgColor indexed="64"/>
      </patternFill>
    </fill>
  </fills>
  <borders count="4">
    <border>
      <left/>
      <right/>
      <top/>
      <bottom/>
      <diagonal/>
    </border>
    <border>
      <left/>
      <right/>
      <top/>
      <bottom style="medium">
        <color indexed="64"/>
      </bottom>
      <diagonal/>
    </border>
    <border>
      <left/>
      <right/>
      <top style="medium">
        <color indexed="64"/>
      </top>
      <bottom style="thin">
        <color indexed="64"/>
      </bottom>
      <diagonal/>
    </border>
    <border>
      <left/>
      <right/>
      <top/>
      <bottom style="medium">
        <color theme="0" tint="-0.499984740745262"/>
      </bottom>
      <diagonal/>
    </border>
  </borders>
  <cellStyleXfs count="1">
    <xf numFmtId="0" fontId="0" fillId="0" borderId="0"/>
  </cellStyleXfs>
  <cellXfs count="43">
    <xf numFmtId="0" fontId="0" fillId="0" borderId="0" xfId="0"/>
    <xf numFmtId="14" fontId="0" fillId="0" borderId="0" xfId="0" applyNumberFormat="1"/>
    <xf numFmtId="1" fontId="0" fillId="0" borderId="0" xfId="0" applyNumberFormat="1"/>
    <xf numFmtId="0" fontId="0" fillId="0" borderId="1" xfId="0" applyBorder="1"/>
    <xf numFmtId="1" fontId="0" fillId="0" borderId="1" xfId="0" applyNumberFormat="1" applyBorder="1"/>
    <xf numFmtId="0" fontId="0" fillId="0" borderId="0" xfId="0" applyAlignment="1">
      <alignment horizontal="center"/>
    </xf>
    <xf numFmtId="14" fontId="0" fillId="0" borderId="0" xfId="0" applyNumberFormat="1" applyAlignment="1">
      <alignment horizontal="center"/>
    </xf>
    <xf numFmtId="1" fontId="0" fillId="0" borderId="0" xfId="0" applyNumberFormat="1" applyAlignment="1">
      <alignment horizontal="center"/>
    </xf>
    <xf numFmtId="45" fontId="0" fillId="0" borderId="0" xfId="0" applyNumberFormat="1" applyAlignment="1">
      <alignment horizontal="center"/>
    </xf>
    <xf numFmtId="14" fontId="0" fillId="0" borderId="1" xfId="0" applyNumberFormat="1" applyBorder="1"/>
    <xf numFmtId="0" fontId="3" fillId="2" borderId="0" xfId="0" applyFont="1" applyFill="1"/>
    <xf numFmtId="14" fontId="3" fillId="2" borderId="0" xfId="0" applyNumberFormat="1" applyFont="1" applyFill="1"/>
    <xf numFmtId="0" fontId="3" fillId="0" borderId="0" xfId="0" applyFont="1"/>
    <xf numFmtId="1" fontId="3" fillId="2" borderId="0" xfId="0" applyNumberFormat="1" applyFont="1" applyFill="1"/>
    <xf numFmtId="0" fontId="3" fillId="2" borderId="0" xfId="0" applyFont="1" applyFill="1" applyAlignment="1">
      <alignment horizontal="center"/>
    </xf>
    <xf numFmtId="14" fontId="0" fillId="3" borderId="0" xfId="0" applyNumberFormat="1" applyFill="1" applyAlignment="1">
      <alignment horizontal="center"/>
    </xf>
    <xf numFmtId="0" fontId="2" fillId="0" borderId="2" xfId="0" applyFont="1" applyBorder="1" applyAlignment="1">
      <alignment horizontal="centerContinuous"/>
    </xf>
    <xf numFmtId="0" fontId="0" fillId="0" borderId="0" xfId="0" pivotButton="1"/>
    <xf numFmtId="0" fontId="0" fillId="0" borderId="0" xfId="0" applyAlignment="1">
      <alignment horizontal="left"/>
    </xf>
    <xf numFmtId="164" fontId="0" fillId="0" borderId="0" xfId="0" applyNumberFormat="1"/>
    <xf numFmtId="45" fontId="0" fillId="0" borderId="0" xfId="0" applyNumberFormat="1"/>
    <xf numFmtId="0" fontId="0" fillId="0" borderId="3" xfId="0" applyBorder="1"/>
    <xf numFmtId="0" fontId="6" fillId="0" borderId="0" xfId="0" applyFont="1"/>
    <xf numFmtId="0" fontId="0" fillId="0" borderId="0" xfId="0" applyAlignment="1">
      <alignment horizontal="right"/>
    </xf>
    <xf numFmtId="165" fontId="0" fillId="0" borderId="0" xfId="0" applyNumberFormat="1" applyAlignment="1">
      <alignment horizontal="right"/>
    </xf>
    <xf numFmtId="0" fontId="7" fillId="0" borderId="0" xfId="0" applyFont="1"/>
    <xf numFmtId="1" fontId="0" fillId="0" borderId="0" xfId="0" applyNumberFormat="1" applyAlignment="1">
      <alignment horizontal="right"/>
    </xf>
    <xf numFmtId="45" fontId="0" fillId="0" borderId="0" xfId="0" applyNumberFormat="1" applyAlignment="1">
      <alignment horizontal="right"/>
    </xf>
    <xf numFmtId="164" fontId="0" fillId="0" borderId="0" xfId="0" applyNumberFormat="1" applyAlignment="1">
      <alignment horizontal="right"/>
    </xf>
    <xf numFmtId="164" fontId="0" fillId="0" borderId="3" xfId="0" applyNumberFormat="1" applyBorder="1" applyAlignment="1">
      <alignment horizontal="right"/>
    </xf>
    <xf numFmtId="164" fontId="6" fillId="0" borderId="0" xfId="0" applyNumberFormat="1" applyFont="1" applyAlignment="1">
      <alignment horizontal="right"/>
    </xf>
    <xf numFmtId="0" fontId="8" fillId="0" borderId="0" xfId="0" applyFont="1"/>
    <xf numFmtId="0" fontId="7" fillId="0" borderId="0" xfId="0" applyFont="1" applyAlignment="1">
      <alignment horizontal="left"/>
    </xf>
    <xf numFmtId="2" fontId="0" fillId="0" borderId="0" xfId="0" applyNumberFormat="1"/>
    <xf numFmtId="0" fontId="0" fillId="4" borderId="0" xfId="0" applyFill="1"/>
    <xf numFmtId="0" fontId="0" fillId="4" borderId="0" xfId="0" applyFill="1" applyProtection="1">
      <protection locked="0"/>
    </xf>
    <xf numFmtId="1" fontId="0" fillId="0" borderId="0" xfId="0" applyNumberFormat="1" applyAlignment="1">
      <alignment horizontal="left"/>
    </xf>
    <xf numFmtId="0" fontId="7" fillId="5" borderId="0" xfId="0" applyFont="1" applyFill="1"/>
    <xf numFmtId="0" fontId="6" fillId="4" borderId="0" xfId="0" applyFont="1" applyFill="1"/>
    <xf numFmtId="10" fontId="0" fillId="0" borderId="0" xfId="0" applyNumberFormat="1"/>
    <xf numFmtId="0" fontId="4" fillId="0" borderId="1" xfId="0" applyFont="1" applyBorder="1" applyAlignment="1">
      <alignment horizontal="center"/>
    </xf>
    <xf numFmtId="0" fontId="3" fillId="2" borderId="0" xfId="0" applyFont="1" applyFill="1" applyAlignment="1">
      <alignment horizontal="center"/>
    </xf>
    <xf numFmtId="0" fontId="3" fillId="2" borderId="0" xfId="0" applyFont="1" applyFill="1" applyAlignment="1">
      <alignment horizontal="right"/>
    </xf>
  </cellXfs>
  <cellStyles count="1">
    <cellStyle name="Normal" xfId="0" builtinId="0"/>
  </cellStyles>
  <dxfs count="31">
    <dxf>
      <numFmt numFmtId="1" formatCode="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1"/>
        <color theme="0"/>
        <name val="Calibri"/>
        <family val="2"/>
        <scheme val="minor"/>
      </font>
      <fill>
        <patternFill patternType="solid">
          <fgColor indexed="64"/>
          <bgColor rgb="FF2A3E68"/>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1"/>
        <color theme="0"/>
        <name val="Calibri"/>
        <family val="2"/>
        <scheme val="minor"/>
      </font>
      <fill>
        <patternFill patternType="solid">
          <fgColor indexed="64"/>
          <bgColor rgb="FF2A3E68"/>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28" formatCode="mm:ss"/>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1"/>
        <color theme="0"/>
        <name val="Calibri"/>
        <family val="2"/>
        <scheme val="minor"/>
      </font>
      <fill>
        <patternFill patternType="solid">
          <fgColor indexed="64"/>
          <bgColor rgb="FF2A3E68"/>
        </patternFill>
      </fill>
    </dxf>
    <dxf>
      <fill>
        <patternFill>
          <bgColor theme="0"/>
        </patternFill>
      </fill>
    </dxf>
  </dxfs>
  <tableStyles count="1" defaultTableStyle="TableStyleMedium2" defaultPivotStyle="PivotStyleLight16">
    <tableStyle name="Slicer Style 1" pivot="0" table="0" count="1" xr9:uid="{AFD81E8E-B587-455C-870F-38AC59E5F68F}">
      <tableStyleElement type="wholeTable" dxfId="30"/>
    </tableStyle>
  </tableStyles>
  <colors>
    <mruColors>
      <color rgb="FFCAD2C5"/>
      <color rgb="FF84A98C"/>
      <color rgb="FF52796F"/>
      <color rgb="FF2A3E68"/>
      <color rgb="FF2F3E46"/>
      <color rgb="FFFFABAB"/>
      <color rgb="FFFF6161"/>
      <color rgb="FF354F52"/>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3.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4.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5.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6.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7.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[customer_satisfaction_analysis_.xlsm]Analysis#1!PivotTable6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Agents'</a:t>
            </a:r>
            <a:r>
              <a:rPr lang="en-US" baseline="0"/>
              <a:t> Tenure vs Customer Ratings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AD2C5"/>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'Analysis#1'!$B$3</c:f>
              <c:strCache>
                <c:ptCount val="1"/>
                <c:pt idx="0">
                  <c:v>Average of tenure</c:v>
                </c:pt>
              </c:strCache>
            </c:strRef>
          </c:tx>
          <c:spPr>
            <a:solidFill>
              <a:srgbClr val="CAD2C5"/>
            </a:solidFill>
            <a:ln>
              <a:solidFill>
                <a:schemeClr val="bg1"/>
              </a:solidFill>
            </a:ln>
            <a:effectLst/>
          </c:spPr>
          <c:invertIfNegative val="0"/>
          <c:cat>
            <c:strRef>
              <c:f>'Analysis#1'!$A$4:$A$14</c:f>
              <c:strCache>
                <c:ptCount val="10"/>
                <c:pt idx="0">
                  <c:v>Mark Ventura</c:v>
                </c:pt>
                <c:pt idx="1">
                  <c:v>Rachel Delos Santos</c:v>
                </c:pt>
                <c:pt idx="2">
                  <c:v>Cherry Castillo</c:v>
                </c:pt>
                <c:pt idx="3">
                  <c:v>Peter Rivera</c:v>
                </c:pt>
                <c:pt idx="4">
                  <c:v>Jane Hernandez</c:v>
                </c:pt>
                <c:pt idx="5">
                  <c:v>Eric Molina</c:v>
                </c:pt>
                <c:pt idx="6">
                  <c:v>Jay Alvarez</c:v>
                </c:pt>
                <c:pt idx="7">
                  <c:v>Cecille Chen</c:v>
                </c:pt>
                <c:pt idx="8">
                  <c:v>Josh Vega</c:v>
                </c:pt>
                <c:pt idx="9">
                  <c:v>Lisa Diaz</c:v>
                </c:pt>
              </c:strCache>
            </c:strRef>
          </c:cat>
          <c:val>
            <c:numRef>
              <c:f>'Analysis#1'!$B$4:$B$14</c:f>
              <c:numCache>
                <c:formatCode>0</c:formatCode>
                <c:ptCount val="10"/>
                <c:pt idx="0">
                  <c:v>4</c:v>
                </c:pt>
                <c:pt idx="1">
                  <c:v>5</c:v>
                </c:pt>
                <c:pt idx="2">
                  <c:v>5</c:v>
                </c:pt>
                <c:pt idx="3">
                  <c:v>6</c:v>
                </c:pt>
                <c:pt idx="4">
                  <c:v>8</c:v>
                </c:pt>
                <c:pt idx="5">
                  <c:v>13</c:v>
                </c:pt>
                <c:pt idx="6">
                  <c:v>16</c:v>
                </c:pt>
                <c:pt idx="7">
                  <c:v>21</c:v>
                </c:pt>
                <c:pt idx="8">
                  <c:v>22</c:v>
                </c:pt>
                <c:pt idx="9">
                  <c:v>24</c:v>
                </c:pt>
              </c:numCache>
            </c:numRef>
          </c:val>
          <c:extLst>
            <c:ext xmlns:c16="http://schemas.microsoft.com/office/drawing/2014/chart" uri="{C3380CC4-5D6E-409C-BE32-E72D297353CC}">
              <c16:uniqueId val="{00000000-168D-46F0-8827-475EF609D708}"/>
            </c:ext>
          </c:extLst>
        </c:ser>
        <c:dLbls>
          <c:showLegendKey val="0"/>
          <c:showVal val="0"/>
          <c:showCatName val="0"/>
          <c:showSerName val="0"/>
          <c:showPercent val="0"/>
          <c:showBubbleSize val="0"/>
        </c:dLbls>
        <c:gapWidth val="30"/>
        <c:overlap val="-27"/>
        <c:axId val="1321833744"/>
        <c:axId val="1321822224"/>
      </c:barChart>
      <c:lineChart>
        <c:grouping val="standard"/>
        <c:varyColors val="0"/>
        <c:ser>
          <c:idx val="1"/>
          <c:order val="1"/>
          <c:tx>
            <c:strRef>
              <c:f>'Analysis#1'!$C$3</c:f>
              <c:strCache>
                <c:ptCount val="1"/>
                <c:pt idx="0">
                  <c:v>Average of Customer_satisfaction</c:v>
                </c:pt>
              </c:strCache>
            </c:strRef>
          </c:tx>
          <c:spPr>
            <a:ln w="28575" cap="rnd">
              <a:solidFill>
                <a:srgbClr val="C00000"/>
              </a:solidFill>
              <a:round/>
            </a:ln>
            <a:effectLst/>
          </c:spPr>
          <c:marker>
            <c:symbol val="none"/>
          </c:marker>
          <c:cat>
            <c:strRef>
              <c:f>'Analysis#1'!$A$4:$A$14</c:f>
              <c:strCache>
                <c:ptCount val="10"/>
                <c:pt idx="0">
                  <c:v>Mark Ventura</c:v>
                </c:pt>
                <c:pt idx="1">
                  <c:v>Rachel Delos Santos</c:v>
                </c:pt>
                <c:pt idx="2">
                  <c:v>Cherry Castillo</c:v>
                </c:pt>
                <c:pt idx="3">
                  <c:v>Peter Rivera</c:v>
                </c:pt>
                <c:pt idx="4">
                  <c:v>Jane Hernandez</c:v>
                </c:pt>
                <c:pt idx="5">
                  <c:v>Eric Molina</c:v>
                </c:pt>
                <c:pt idx="6">
                  <c:v>Jay Alvarez</c:v>
                </c:pt>
                <c:pt idx="7">
                  <c:v>Cecille Chen</c:v>
                </c:pt>
                <c:pt idx="8">
                  <c:v>Josh Vega</c:v>
                </c:pt>
                <c:pt idx="9">
                  <c:v>Lisa Diaz</c:v>
                </c:pt>
              </c:strCache>
            </c:strRef>
          </c:cat>
          <c:val>
            <c:numRef>
              <c:f>'Analysis#1'!$C$4:$C$14</c:f>
              <c:numCache>
                <c:formatCode>0.0</c:formatCode>
                <c:ptCount val="10"/>
                <c:pt idx="0">
                  <c:v>7.833333333333333</c:v>
                </c:pt>
                <c:pt idx="1">
                  <c:v>7.2592592592592595</c:v>
                </c:pt>
                <c:pt idx="2">
                  <c:v>7.6296296296296298</c:v>
                </c:pt>
                <c:pt idx="3">
                  <c:v>7.64</c:v>
                </c:pt>
                <c:pt idx="4">
                  <c:v>7.291666666666667</c:v>
                </c:pt>
                <c:pt idx="5">
                  <c:v>7.88</c:v>
                </c:pt>
                <c:pt idx="6">
                  <c:v>7.5384615384615383</c:v>
                </c:pt>
                <c:pt idx="7">
                  <c:v>7.12</c:v>
                </c:pt>
                <c:pt idx="8">
                  <c:v>7.625</c:v>
                </c:pt>
                <c:pt idx="9">
                  <c:v>7.458333333333333</c:v>
                </c:pt>
              </c:numCache>
            </c:numRef>
          </c:val>
          <c:smooth val="0"/>
          <c:extLst>
            <c:ext xmlns:c16="http://schemas.microsoft.com/office/drawing/2014/chart" uri="{C3380CC4-5D6E-409C-BE32-E72D297353CC}">
              <c16:uniqueId val="{00000001-168D-46F0-8827-475EF609D708}"/>
            </c:ext>
          </c:extLst>
        </c:ser>
        <c:dLbls>
          <c:showLegendKey val="0"/>
          <c:showVal val="0"/>
          <c:showCatName val="0"/>
          <c:showSerName val="0"/>
          <c:showPercent val="0"/>
          <c:showBubbleSize val="0"/>
        </c:dLbls>
        <c:marker val="1"/>
        <c:smooth val="0"/>
        <c:axId val="1321829424"/>
        <c:axId val="1321817424"/>
      </c:lineChart>
      <c:catAx>
        <c:axId val="132183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822224"/>
        <c:crosses val="autoZero"/>
        <c:auto val="1"/>
        <c:lblAlgn val="ctr"/>
        <c:lblOffset val="100"/>
        <c:noMultiLvlLbl val="0"/>
      </c:catAx>
      <c:valAx>
        <c:axId val="1321822224"/>
        <c:scaling>
          <c:orientation val="minMax"/>
        </c:scaling>
        <c:delete val="0"/>
        <c:axPos val="l"/>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833744"/>
        <c:crosses val="autoZero"/>
        <c:crossBetween val="between"/>
      </c:valAx>
      <c:valAx>
        <c:axId val="1321817424"/>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829424"/>
        <c:crosses val="max"/>
        <c:crossBetween val="between"/>
      </c:valAx>
      <c:catAx>
        <c:axId val="1321829424"/>
        <c:scaling>
          <c:orientation val="minMax"/>
        </c:scaling>
        <c:delete val="1"/>
        <c:axPos val="b"/>
        <c:numFmt formatCode="General" sourceLinked="1"/>
        <c:majorTickMark val="out"/>
        <c:minorTickMark val="none"/>
        <c:tickLblPos val="nextTo"/>
        <c:crossAx val="13218174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[customer_satisfaction_analysis_.xlsm]Analysis#2!PivotTable7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Call Duration</a:t>
            </a:r>
            <a:r>
              <a:rPr lang="en-US" baseline="0"/>
              <a:t> By Products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AD2C5"/>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A3E68"/>
          </a:solidFill>
          <a:ln>
            <a:solidFill>
              <a:schemeClr val="bg1"/>
            </a:solidFill>
          </a:ln>
          <a:effectLst/>
        </c:spPr>
      </c:pivotFmt>
    </c:pivotFmts>
    <c:plotArea>
      <c:layout/>
      <c:barChart>
        <c:barDir val="col"/>
        <c:grouping val="clustered"/>
        <c:varyColors val="0"/>
        <c:ser>
          <c:idx val="0"/>
          <c:order val="0"/>
          <c:tx>
            <c:strRef>
              <c:f>'Analysis#2'!$B$3</c:f>
              <c:strCache>
                <c:ptCount val="1"/>
                <c:pt idx="0">
                  <c:v>Total</c:v>
                </c:pt>
              </c:strCache>
            </c:strRef>
          </c:tx>
          <c:spPr>
            <a:solidFill>
              <a:srgbClr val="CAD2C5"/>
            </a:solidFill>
            <a:ln>
              <a:solidFill>
                <a:schemeClr val="bg1"/>
              </a:solidFill>
            </a:ln>
            <a:effectLst/>
          </c:spPr>
          <c:invertIfNegative val="0"/>
          <c:dPt>
            <c:idx val="2"/>
            <c:invertIfNegative val="0"/>
            <c:bubble3D val="0"/>
            <c:spPr>
              <a:solidFill>
                <a:srgbClr val="2A3E68"/>
              </a:solidFill>
              <a:ln>
                <a:solidFill>
                  <a:schemeClr val="bg1"/>
                </a:solidFill>
              </a:ln>
              <a:effectLst/>
            </c:spPr>
            <c:extLst>
              <c:ext xmlns:c16="http://schemas.microsoft.com/office/drawing/2014/chart" uri="{C3380CC4-5D6E-409C-BE32-E72D297353CC}">
                <c16:uniqueId val="{00000001-1B73-4BA3-B922-83B56CBC2C6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'Analysis#2'!$A$4:$A$7</c:f>
              <c:strCache>
                <c:ptCount val="3"/>
                <c:pt idx="0">
                  <c:v>Property Loan</c:v>
                </c:pt>
                <c:pt idx="1">
                  <c:v>Car Loan</c:v>
                </c:pt>
                <c:pt idx="2">
                  <c:v>Personal Loan</c:v>
                </c:pt>
              </c:strCache>
            </c:strRef>
          </c:cat>
          <c:val>
            <c:numRef>
              <c:f>'Analysis#2'!$B$4:$B$7</c:f>
              <c:numCache>
                <c:formatCode>mm:ss</c:formatCode>
                <c:ptCount val="3"/>
                <c:pt idx="0">
                  <c:v>4.1045249118165789E-3</c:v>
                </c:pt>
                <c:pt idx="1">
                  <c:v>5.4727458112874784E-3</c:v>
                </c:pt>
                <c:pt idx="2">
                  <c:v>1.2994896251673356E-2</c:v>
                </c:pt>
              </c:numCache>
            </c:numRef>
          </c:val>
          <c:extLst>
            <c:ext xmlns:c16="http://schemas.microsoft.com/office/drawing/2014/chart" uri="{C3380CC4-5D6E-409C-BE32-E72D297353CC}">
              <c16:uniqueId val="{00000000-3DC2-42C7-912F-01BFDDB09F9E}"/>
            </c:ext>
          </c:extLst>
        </c:ser>
        <c:dLbls>
          <c:dLblPos val="outEnd"/>
          <c:showLegendKey val="0"/>
          <c:showVal val="1"/>
          <c:showCatName val="0"/>
          <c:showSerName val="0"/>
          <c:showPercent val="0"/>
          <c:showBubbleSize val="0"/>
        </c:dLbls>
        <c:gapWidth val="30"/>
        <c:overlap val="-27"/>
        <c:axId val="1881788176"/>
        <c:axId val="1881791056"/>
      </c:barChart>
      <c:catAx>
        <c:axId val="188178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1791056"/>
        <c:crosses val="autoZero"/>
        <c:auto val="1"/>
        <c:lblAlgn val="ctr"/>
        <c:lblOffset val="100"/>
        <c:noMultiLvlLbl val="0"/>
      </c:catAx>
      <c:valAx>
        <c:axId val="1881791056"/>
        <c:scaling>
          <c:orientation val="minMax"/>
        </c:scaling>
        <c:delete val="1"/>
        <c:axPos val="l"/>
        <c:numFmt formatCode="mm:ss" sourceLinked="1"/>
        <c:majorTickMark val="none"/>
        <c:minorTickMark val="none"/>
        <c:tickLblPos val="nextTo"/>
        <c:crossAx val="188178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[customer_satisfaction_analysis_.xlsm]Analysis#3!PivotTable8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Weekly Call Volume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AD2C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A3E68"/>
          </a:solidFill>
          <a:ln>
            <a:noFill/>
          </a:ln>
          <a:effectLst/>
        </c:spPr>
      </c:pivotFmt>
      <c:pivotFmt>
        <c:idx val="2"/>
        <c:spPr>
          <a:solidFill>
            <a:srgbClr val="2A3E68"/>
          </a:solidFill>
          <a:ln>
            <a:noFill/>
          </a:ln>
          <a:effectLst/>
        </c:spPr>
      </c:pivotFmt>
    </c:pivotFmts>
    <c:plotArea>
      <c:layout/>
      <c:barChart>
        <c:barDir val="col"/>
        <c:grouping val="clustered"/>
        <c:varyColors val="0"/>
        <c:ser>
          <c:idx val="0"/>
          <c:order val="0"/>
          <c:tx>
            <c:strRef>
              <c:f>'Analysis#3'!$B$3</c:f>
              <c:strCache>
                <c:ptCount val="1"/>
                <c:pt idx="0">
                  <c:v>Total</c:v>
                </c:pt>
              </c:strCache>
            </c:strRef>
          </c:tx>
          <c:spPr>
            <a:solidFill>
              <a:srgbClr val="CAD2C5"/>
            </a:solidFill>
            <a:ln>
              <a:noFill/>
            </a:ln>
            <a:effectLst/>
          </c:spPr>
          <c:invertIfNegative val="0"/>
          <c:dPt>
            <c:idx val="5"/>
            <c:invertIfNegative val="0"/>
            <c:bubble3D val="0"/>
            <c:spPr>
              <a:solidFill>
                <a:srgbClr val="2A3E68"/>
              </a:solidFill>
              <a:ln>
                <a:noFill/>
              </a:ln>
              <a:effectLst/>
            </c:spPr>
            <c:extLst>
              <c:ext xmlns:c16="http://schemas.microsoft.com/office/drawing/2014/chart" uri="{C3380CC4-5D6E-409C-BE32-E72D297353CC}">
                <c16:uniqueId val="{00000002-BED6-4349-80AF-F7C1A44230E0}"/>
              </c:ext>
            </c:extLst>
          </c:dPt>
          <c:dPt>
            <c:idx val="6"/>
            <c:invertIfNegative val="0"/>
            <c:bubble3D val="0"/>
            <c:spPr>
              <a:solidFill>
                <a:srgbClr val="2A3E68"/>
              </a:solidFill>
              <a:ln>
                <a:noFill/>
              </a:ln>
              <a:effectLst/>
            </c:spPr>
            <c:extLst>
              <c:ext xmlns:c16="http://schemas.microsoft.com/office/drawing/2014/chart" uri="{C3380CC4-5D6E-409C-BE32-E72D297353CC}">
                <c16:uniqueId val="{00000003-BED6-4349-80AF-F7C1A44230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'Analysis#3'!$A$4:$A$11</c:f>
              <c:strCache>
                <c:ptCount val="7"/>
                <c:pt idx="0">
                  <c:v>Sun</c:v>
                </c:pt>
                <c:pt idx="1">
                  <c:v>Mon</c:v>
                </c:pt>
                <c:pt idx="2">
                  <c:v>Tue</c:v>
                </c:pt>
                <c:pt idx="3">
                  <c:v>Wed</c:v>
                </c:pt>
                <c:pt idx="4">
                  <c:v>Thu</c:v>
                </c:pt>
                <c:pt idx="5">
                  <c:v>Fri</c:v>
                </c:pt>
                <c:pt idx="6">
                  <c:v>Sat</c:v>
                </c:pt>
              </c:strCache>
            </c:strRef>
          </c:cat>
          <c:val>
            <c:numRef>
              <c:f>'Analysis#3'!$B$4:$B$11</c:f>
              <c:numCache>
                <c:formatCode>General</c:formatCode>
                <c:ptCount val="7"/>
                <c:pt idx="0">
                  <c:v>733</c:v>
                </c:pt>
                <c:pt idx="1">
                  <c:v>561</c:v>
                </c:pt>
                <c:pt idx="2">
                  <c:v>700</c:v>
                </c:pt>
                <c:pt idx="3">
                  <c:v>755</c:v>
                </c:pt>
                <c:pt idx="4">
                  <c:v>785</c:v>
                </c:pt>
                <c:pt idx="5">
                  <c:v>1008</c:v>
                </c:pt>
                <c:pt idx="6">
                  <c:v>1031</c:v>
                </c:pt>
              </c:numCache>
            </c:numRef>
          </c:val>
          <c:extLst>
            <c:ext xmlns:c16="http://schemas.microsoft.com/office/drawing/2014/chart" uri="{C3380CC4-5D6E-409C-BE32-E72D297353CC}">
              <c16:uniqueId val="{00000000-BED6-4349-80AF-F7C1A44230E0}"/>
            </c:ext>
          </c:extLst>
        </c:ser>
        <c:dLbls>
          <c:dLblPos val="outEnd"/>
          <c:showLegendKey val="0"/>
          <c:showVal val="1"/>
          <c:showCatName val="0"/>
          <c:showSerName val="0"/>
          <c:showPercent val="0"/>
          <c:showBubbleSize val="0"/>
        </c:dLbls>
        <c:gapWidth val="30"/>
        <c:overlap val="-27"/>
        <c:axId val="1321811184"/>
        <c:axId val="1321823184"/>
      </c:barChart>
      <c:catAx>
        <c:axId val="132181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823184"/>
        <c:crosses val="autoZero"/>
        <c:auto val="1"/>
        <c:lblAlgn val="ctr"/>
        <c:lblOffset val="100"/>
        <c:noMultiLvlLbl val="0"/>
      </c:catAx>
      <c:valAx>
        <c:axId val="1321823184"/>
        <c:scaling>
          <c:orientation val="minMax"/>
        </c:scaling>
        <c:delete val="1"/>
        <c:axPos val="l"/>
        <c:numFmt formatCode="General" sourceLinked="1"/>
        <c:majorTickMark val="none"/>
        <c:minorTickMark val="none"/>
        <c:tickLblPos val="nextTo"/>
        <c:crossAx val="1321811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[customer_satisfaction_analysis_.xlsm]Analysis#4!PivotTable22</c:name>
    <c:fmtId val="1"/>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sz="1200" i="1"/>
              <a:t>As</a:t>
            </a:r>
            <a:r>
              <a:rPr lang="en-US" sz="1200" i="1" baseline="0"/>
              <a:t> the call volume goes up, the customer waiting time also becomes longer.</a:t>
            </a:r>
            <a:endParaRPr lang="en-US" sz="1200" i="1"/>
          </a:p>
        </c:rich>
      </c:tx>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AD2C5"/>
          </a:solidFill>
          <a:ln>
            <a:noFill/>
          </a:ln>
          <a:effectLst/>
        </c:spPr>
        <c:marker>
          <c:symbol val="none"/>
        </c:marker>
      </c:pivotFmt>
      <c:pivotFmt>
        <c:idx val="1"/>
        <c:spPr>
          <a:ln w="28575" cap="rnd">
            <a:solidFill>
              <a:schemeClr val="accent1">
                <a:lumMod val="60000"/>
                <a:lumOff val="40000"/>
              </a:schemeClr>
            </a:solidFill>
            <a:round/>
          </a:ln>
          <a:effectLst/>
        </c:spPr>
        <c:marker>
          <c:symbol val="none"/>
        </c:marker>
      </c:pivotFmt>
      <c:pivotFmt>
        <c:idx val="2"/>
        <c:spPr>
          <a:solidFill>
            <a:srgbClr val="2A3E68"/>
          </a:solidFill>
          <a:ln>
            <a:noFill/>
          </a:ln>
          <a:effectLst/>
        </c:spPr>
      </c:pivotFmt>
      <c:pivotFmt>
        <c:idx val="3"/>
        <c:spPr>
          <a:solidFill>
            <a:srgbClr val="2A3E68"/>
          </a:solidFill>
          <a:ln>
            <a:noFill/>
          </a:ln>
          <a:effectLst/>
        </c:spPr>
      </c:pivotFmt>
      <c:pivotFmt>
        <c:idx val="4"/>
        <c:spPr>
          <a:ln w="28575" cap="rnd">
            <a:solidFill>
              <a:schemeClr val="accent1">
                <a:lumMod val="60000"/>
                <a:lumOff val="40000"/>
              </a:schemeClr>
            </a:solidFill>
            <a:round/>
          </a:ln>
          <a:effectLst/>
        </c:spPr>
        <c:marker>
          <c:symbol val="none"/>
        </c:marker>
      </c:pivotFmt>
      <c:pivotFmt>
        <c:idx val="5"/>
        <c:spPr>
          <a:ln w="28575" cap="rnd">
            <a:solidFill>
              <a:schemeClr val="accent1">
                <a:lumMod val="60000"/>
                <a:lumOff val="40000"/>
              </a:schemeClr>
            </a:solidFill>
            <a:round/>
          </a:ln>
          <a:effectLst/>
        </c:spPr>
        <c:marker>
          <c:symbol val="none"/>
        </c:marker>
      </c:pivotFmt>
    </c:pivotFmts>
    <c:plotArea>
      <c:layout/>
      <c:barChart>
        <c:barDir val="col"/>
        <c:grouping val="clustered"/>
        <c:varyColors val="0"/>
        <c:ser>
          <c:idx val="0"/>
          <c:order val="0"/>
          <c:tx>
            <c:strRef>
              <c:f>'Analysis#4'!$B$1</c:f>
              <c:strCache>
                <c:ptCount val="1"/>
                <c:pt idx="0">
                  <c:v>Sum of calls_handled</c:v>
                </c:pt>
              </c:strCache>
            </c:strRef>
          </c:tx>
          <c:spPr>
            <a:solidFill>
              <a:srgbClr val="CAD2C5"/>
            </a:solidFill>
            <a:ln>
              <a:noFill/>
            </a:ln>
            <a:effectLst/>
          </c:spPr>
          <c:invertIfNegative val="0"/>
          <c:dPt>
            <c:idx val="5"/>
            <c:invertIfNegative val="0"/>
            <c:bubble3D val="0"/>
            <c:spPr>
              <a:solidFill>
                <a:srgbClr val="2A3E68"/>
              </a:solidFill>
              <a:ln>
                <a:noFill/>
              </a:ln>
              <a:effectLst/>
            </c:spPr>
            <c:extLst>
              <c:ext xmlns:c16="http://schemas.microsoft.com/office/drawing/2014/chart" uri="{C3380CC4-5D6E-409C-BE32-E72D297353CC}">
                <c16:uniqueId val="{00000003-1215-4717-9E4A-80F8057314AF}"/>
              </c:ext>
            </c:extLst>
          </c:dPt>
          <c:dPt>
            <c:idx val="6"/>
            <c:invertIfNegative val="0"/>
            <c:bubble3D val="0"/>
            <c:spPr>
              <a:solidFill>
                <a:srgbClr val="2A3E68"/>
              </a:solidFill>
              <a:ln>
                <a:noFill/>
              </a:ln>
              <a:effectLst/>
            </c:spPr>
            <c:extLst>
              <c:ext xmlns:c16="http://schemas.microsoft.com/office/drawing/2014/chart" uri="{C3380CC4-5D6E-409C-BE32-E72D297353CC}">
                <c16:uniqueId val="{00000004-1215-4717-9E4A-80F8057314AF}"/>
              </c:ext>
            </c:extLst>
          </c:dPt>
          <c:cat>
            <c:strRef>
              <c:f>'Analysis#4'!$A$2:$A$9</c:f>
              <c:strCache>
                <c:ptCount val="7"/>
                <c:pt idx="0">
                  <c:v>Sun</c:v>
                </c:pt>
                <c:pt idx="1">
                  <c:v>Mon</c:v>
                </c:pt>
                <c:pt idx="2">
                  <c:v>Tue</c:v>
                </c:pt>
                <c:pt idx="3">
                  <c:v>Wed</c:v>
                </c:pt>
                <c:pt idx="4">
                  <c:v>Thu</c:v>
                </c:pt>
                <c:pt idx="5">
                  <c:v>Fri</c:v>
                </c:pt>
                <c:pt idx="6">
                  <c:v>Sat</c:v>
                </c:pt>
              </c:strCache>
            </c:strRef>
          </c:cat>
          <c:val>
            <c:numRef>
              <c:f>'Analysis#4'!$B$2:$B$9</c:f>
              <c:numCache>
                <c:formatCode>General</c:formatCode>
                <c:ptCount val="7"/>
                <c:pt idx="0">
                  <c:v>733</c:v>
                </c:pt>
                <c:pt idx="1">
                  <c:v>561</c:v>
                </c:pt>
                <c:pt idx="2">
                  <c:v>700</c:v>
                </c:pt>
                <c:pt idx="3">
                  <c:v>755</c:v>
                </c:pt>
                <c:pt idx="4">
                  <c:v>785</c:v>
                </c:pt>
                <c:pt idx="5">
                  <c:v>1008</c:v>
                </c:pt>
                <c:pt idx="6">
                  <c:v>1031</c:v>
                </c:pt>
              </c:numCache>
            </c:numRef>
          </c:val>
          <c:extLst>
            <c:ext xmlns:c16="http://schemas.microsoft.com/office/drawing/2014/chart" uri="{C3380CC4-5D6E-409C-BE32-E72D297353CC}">
              <c16:uniqueId val="{00000000-1215-4717-9E4A-80F8057314AF}"/>
            </c:ext>
          </c:extLst>
        </c:ser>
        <c:dLbls>
          <c:showLegendKey val="0"/>
          <c:showVal val="0"/>
          <c:showCatName val="0"/>
          <c:showSerName val="0"/>
          <c:showPercent val="0"/>
          <c:showBubbleSize val="0"/>
        </c:dLbls>
        <c:gapWidth val="30"/>
        <c:overlap val="-27"/>
        <c:axId val="1673601616"/>
        <c:axId val="1673602576"/>
      </c:barChart>
      <c:lineChart>
        <c:grouping val="standard"/>
        <c:varyColors val="0"/>
        <c:ser>
          <c:idx val="1"/>
          <c:order val="1"/>
          <c:tx>
            <c:strRef>
              <c:f>'Analysis#4'!$C$1</c:f>
              <c:strCache>
                <c:ptCount val="1"/>
                <c:pt idx="0">
                  <c:v>Average of avg_queue_time</c:v>
                </c:pt>
              </c:strCache>
            </c:strRef>
          </c:tx>
          <c:spPr>
            <a:ln w="28575" cap="rnd">
              <a:solidFill>
                <a:schemeClr val="accent1">
                  <a:lumMod val="60000"/>
                  <a:lumOff val="40000"/>
                </a:schemeClr>
              </a:solidFill>
              <a:round/>
            </a:ln>
            <a:effectLst/>
          </c:spPr>
          <c:marker>
            <c:symbol val="none"/>
          </c:marker>
          <c:dPt>
            <c:idx val="5"/>
            <c:marker>
              <c:symbol val="none"/>
            </c:marker>
            <c:bubble3D val="0"/>
            <c:spPr>
              <a:ln w="28575" cap="rnd">
                <a:solidFill>
                  <a:schemeClr val="accent1">
                    <a:lumMod val="60000"/>
                    <a:lumOff val="40000"/>
                  </a:schemeClr>
                </a:solidFill>
                <a:round/>
              </a:ln>
              <a:effectLst/>
            </c:spPr>
            <c:extLst>
              <c:ext xmlns:c16="http://schemas.microsoft.com/office/drawing/2014/chart" uri="{C3380CC4-5D6E-409C-BE32-E72D297353CC}">
                <c16:uniqueId val="{00000005-1215-4717-9E4A-80F8057314AF}"/>
              </c:ext>
            </c:extLst>
          </c:dPt>
          <c:dPt>
            <c:idx val="6"/>
            <c:marker>
              <c:symbol val="none"/>
            </c:marker>
            <c:bubble3D val="0"/>
            <c:spPr>
              <a:ln w="28575" cap="rnd">
                <a:solidFill>
                  <a:schemeClr val="accent1">
                    <a:lumMod val="60000"/>
                    <a:lumOff val="40000"/>
                  </a:schemeClr>
                </a:solidFill>
                <a:round/>
              </a:ln>
              <a:effectLst/>
            </c:spPr>
            <c:extLst>
              <c:ext xmlns:c16="http://schemas.microsoft.com/office/drawing/2014/chart" uri="{C3380CC4-5D6E-409C-BE32-E72D297353CC}">
                <c16:uniqueId val="{00000006-1215-4717-9E4A-80F8057314AF}"/>
              </c:ext>
            </c:extLst>
          </c:dPt>
          <c:cat>
            <c:strRef>
              <c:f>'Analysis#4'!$A$2:$A$9</c:f>
              <c:strCache>
                <c:ptCount val="7"/>
                <c:pt idx="0">
                  <c:v>Sun</c:v>
                </c:pt>
                <c:pt idx="1">
                  <c:v>Mon</c:v>
                </c:pt>
                <c:pt idx="2">
                  <c:v>Tue</c:v>
                </c:pt>
                <c:pt idx="3">
                  <c:v>Wed</c:v>
                </c:pt>
                <c:pt idx="4">
                  <c:v>Thu</c:v>
                </c:pt>
                <c:pt idx="5">
                  <c:v>Fri</c:v>
                </c:pt>
                <c:pt idx="6">
                  <c:v>Sat</c:v>
                </c:pt>
              </c:strCache>
            </c:strRef>
          </c:cat>
          <c:val>
            <c:numRef>
              <c:f>'Analysis#4'!$C$2:$C$9</c:f>
              <c:numCache>
                <c:formatCode>0.0</c:formatCode>
                <c:ptCount val="7"/>
                <c:pt idx="0">
                  <c:v>44.222222222222221</c:v>
                </c:pt>
                <c:pt idx="1">
                  <c:v>47.357142857142854</c:v>
                </c:pt>
                <c:pt idx="2">
                  <c:v>48.114285714285714</c:v>
                </c:pt>
                <c:pt idx="3">
                  <c:v>41.027027027027025</c:v>
                </c:pt>
                <c:pt idx="4">
                  <c:v>45.763157894736842</c:v>
                </c:pt>
                <c:pt idx="5">
                  <c:v>60.736842105263158</c:v>
                </c:pt>
                <c:pt idx="6">
                  <c:v>66.179487179487182</c:v>
                </c:pt>
              </c:numCache>
            </c:numRef>
          </c:val>
          <c:smooth val="0"/>
          <c:extLst>
            <c:ext xmlns:c16="http://schemas.microsoft.com/office/drawing/2014/chart" uri="{C3380CC4-5D6E-409C-BE32-E72D297353CC}">
              <c16:uniqueId val="{00000001-1215-4717-9E4A-80F8057314AF}"/>
            </c:ext>
          </c:extLst>
        </c:ser>
        <c:dLbls>
          <c:showLegendKey val="0"/>
          <c:showVal val="0"/>
          <c:showCatName val="0"/>
          <c:showSerName val="0"/>
          <c:showPercent val="0"/>
          <c:showBubbleSize val="0"/>
        </c:dLbls>
        <c:marker val="1"/>
        <c:smooth val="0"/>
        <c:axId val="1693202672"/>
        <c:axId val="1693203632"/>
      </c:lineChart>
      <c:catAx>
        <c:axId val="167360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602576"/>
        <c:crosses val="autoZero"/>
        <c:auto val="1"/>
        <c:lblAlgn val="ctr"/>
        <c:lblOffset val="100"/>
        <c:noMultiLvlLbl val="0"/>
      </c:catAx>
      <c:valAx>
        <c:axId val="1673602576"/>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601616"/>
        <c:crosses val="autoZero"/>
        <c:crossBetween val="between"/>
      </c:valAx>
      <c:valAx>
        <c:axId val="169320363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202672"/>
        <c:crosses val="max"/>
        <c:crossBetween val="between"/>
      </c:valAx>
      <c:catAx>
        <c:axId val="1693202672"/>
        <c:scaling>
          <c:orientation val="minMax"/>
        </c:scaling>
        <c:delete val="1"/>
        <c:axPos val="b"/>
        <c:numFmt formatCode="General" sourceLinked="1"/>
        <c:majorTickMark val="out"/>
        <c:minorTickMark val="none"/>
        <c:tickLblPos val="nextTo"/>
        <c:crossAx val="169320363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[customer_satisfaction_analysis_.xlsm]Analysis#4!PivotTable24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AHT</a:t>
            </a:r>
            <a:r>
              <a:rPr lang="en-US" baseline="0"/>
              <a:t> vs QT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'Analysis#4'!$B$28</c:f>
              <c:strCache>
                <c:ptCount val="1"/>
                <c:pt idx="0">
                  <c:v>Average of avg_queue_time</c:v>
                </c:pt>
              </c:strCache>
            </c:strRef>
          </c:tx>
          <c:spPr>
            <a:ln w="28575" cap="rnd">
              <a:solidFill>
                <a:schemeClr val="accent1">
                  <a:lumMod val="60000"/>
                  <a:lumOff val="40000"/>
                </a:schemeClr>
              </a:solidFill>
              <a:round/>
            </a:ln>
            <a:effectLst/>
          </c:spPr>
          <c:marker>
            <c:symbol val="none"/>
          </c:marker>
          <c:cat>
            <c:strRef>
              <c:f>'Analysis#4'!$A$29:$A$36</c:f>
              <c:strCache>
                <c:ptCount val="7"/>
                <c:pt idx="0">
                  <c:v>Sun</c:v>
                </c:pt>
                <c:pt idx="1">
                  <c:v>Mon</c:v>
                </c:pt>
                <c:pt idx="2">
                  <c:v>Tue</c:v>
                </c:pt>
                <c:pt idx="3">
                  <c:v>Wed</c:v>
                </c:pt>
                <c:pt idx="4">
                  <c:v>Thu</c:v>
                </c:pt>
                <c:pt idx="5">
                  <c:v>Fri</c:v>
                </c:pt>
                <c:pt idx="6">
                  <c:v>Sat</c:v>
                </c:pt>
              </c:strCache>
            </c:strRef>
          </c:cat>
          <c:val>
            <c:numRef>
              <c:f>'Analysis#4'!$B$29:$B$36</c:f>
              <c:numCache>
                <c:formatCode>0.0</c:formatCode>
                <c:ptCount val="7"/>
                <c:pt idx="0">
                  <c:v>44.222222222222221</c:v>
                </c:pt>
                <c:pt idx="1">
                  <c:v>47.357142857142854</c:v>
                </c:pt>
                <c:pt idx="2">
                  <c:v>48.114285714285714</c:v>
                </c:pt>
                <c:pt idx="3">
                  <c:v>41.027027027027025</c:v>
                </c:pt>
                <c:pt idx="4">
                  <c:v>45.763157894736842</c:v>
                </c:pt>
                <c:pt idx="5">
                  <c:v>60.736842105263158</c:v>
                </c:pt>
                <c:pt idx="6">
                  <c:v>66.179487179487182</c:v>
                </c:pt>
              </c:numCache>
            </c:numRef>
          </c:val>
          <c:smooth val="0"/>
          <c:extLst>
            <c:ext xmlns:c16="http://schemas.microsoft.com/office/drawing/2014/chart" uri="{C3380CC4-5D6E-409C-BE32-E72D297353CC}">
              <c16:uniqueId val="{00000000-0D17-4753-9A44-56B60A31F921}"/>
            </c:ext>
          </c:extLst>
        </c:ser>
        <c:dLbls>
          <c:showLegendKey val="0"/>
          <c:showVal val="0"/>
          <c:showCatName val="0"/>
          <c:showSerName val="0"/>
          <c:showPercent val="0"/>
          <c:showBubbleSize val="0"/>
        </c:dLbls>
        <c:marker val="1"/>
        <c:smooth val="0"/>
        <c:axId val="1693202192"/>
        <c:axId val="1239640992"/>
      </c:lineChart>
      <c:lineChart>
        <c:grouping val="standard"/>
        <c:varyColors val="0"/>
        <c:ser>
          <c:idx val="1"/>
          <c:order val="1"/>
          <c:tx>
            <c:strRef>
              <c:f>'Analysis#4'!$C$28</c:f>
              <c:strCache>
                <c:ptCount val="1"/>
                <c:pt idx="0">
                  <c:v>Average of avg_ht_in_minutes</c:v>
                </c:pt>
              </c:strCache>
            </c:strRef>
          </c:tx>
          <c:spPr>
            <a:ln w="28575" cap="rnd">
              <a:solidFill>
                <a:schemeClr val="accent6"/>
              </a:solidFill>
              <a:round/>
            </a:ln>
            <a:effectLst/>
          </c:spPr>
          <c:marker>
            <c:symbol val="none"/>
          </c:marker>
          <c:cat>
            <c:strRef>
              <c:f>'Analysis#4'!$A$29:$A$36</c:f>
              <c:strCache>
                <c:ptCount val="7"/>
                <c:pt idx="0">
                  <c:v>Sun</c:v>
                </c:pt>
                <c:pt idx="1">
                  <c:v>Mon</c:v>
                </c:pt>
                <c:pt idx="2">
                  <c:v>Tue</c:v>
                </c:pt>
                <c:pt idx="3">
                  <c:v>Wed</c:v>
                </c:pt>
                <c:pt idx="4">
                  <c:v>Thu</c:v>
                </c:pt>
                <c:pt idx="5">
                  <c:v>Fri</c:v>
                </c:pt>
                <c:pt idx="6">
                  <c:v>Sat</c:v>
                </c:pt>
              </c:strCache>
            </c:strRef>
          </c:cat>
          <c:val>
            <c:numRef>
              <c:f>'Analysis#4'!$C$29:$C$36</c:f>
              <c:numCache>
                <c:formatCode>mm:ss</c:formatCode>
                <c:ptCount val="7"/>
                <c:pt idx="0">
                  <c:v>8.1192129629629652E-3</c:v>
                </c:pt>
                <c:pt idx="1">
                  <c:v>8.0369543650793667E-3</c:v>
                </c:pt>
                <c:pt idx="2">
                  <c:v>7.991071428571429E-3</c:v>
                </c:pt>
                <c:pt idx="3">
                  <c:v>7.407094594594597E-3</c:v>
                </c:pt>
                <c:pt idx="4">
                  <c:v>5.9761817738791419E-3</c:v>
                </c:pt>
                <c:pt idx="5">
                  <c:v>7.7866106237816793E-3</c:v>
                </c:pt>
                <c:pt idx="6">
                  <c:v>7.410375118708454E-3</c:v>
                </c:pt>
              </c:numCache>
            </c:numRef>
          </c:val>
          <c:smooth val="0"/>
          <c:extLst>
            <c:ext xmlns:c16="http://schemas.microsoft.com/office/drawing/2014/chart" uri="{C3380CC4-5D6E-409C-BE32-E72D297353CC}">
              <c16:uniqueId val="{00000001-0D17-4753-9A44-56B60A31F921}"/>
            </c:ext>
          </c:extLst>
        </c:ser>
        <c:dLbls>
          <c:showLegendKey val="0"/>
          <c:showVal val="0"/>
          <c:showCatName val="0"/>
          <c:showSerName val="0"/>
          <c:showPercent val="0"/>
          <c:showBubbleSize val="0"/>
        </c:dLbls>
        <c:marker val="1"/>
        <c:smooth val="0"/>
        <c:axId val="1239638592"/>
        <c:axId val="1239638112"/>
      </c:lineChart>
      <c:catAx>
        <c:axId val="169320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640992"/>
        <c:crosses val="autoZero"/>
        <c:auto val="1"/>
        <c:lblAlgn val="ctr"/>
        <c:lblOffset val="100"/>
        <c:noMultiLvlLbl val="0"/>
      </c:catAx>
      <c:valAx>
        <c:axId val="123964099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202192"/>
        <c:crosses val="autoZero"/>
        <c:crossBetween val="between"/>
      </c:valAx>
      <c:valAx>
        <c:axId val="1239638112"/>
        <c:scaling>
          <c:orientation val="minMax"/>
        </c:scaling>
        <c:delete val="0"/>
        <c:axPos val="r"/>
        <c:numFmt formatCode="mm:ss"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638592"/>
        <c:crosses val="max"/>
        <c:crossBetween val="between"/>
      </c:valAx>
      <c:catAx>
        <c:axId val="1239638592"/>
        <c:scaling>
          <c:orientation val="minMax"/>
        </c:scaling>
        <c:delete val="1"/>
        <c:axPos val="b"/>
        <c:numFmt formatCode="General" sourceLinked="1"/>
        <c:majorTickMark val="out"/>
        <c:minorTickMark val="none"/>
        <c:tickLblPos val="nextTo"/>
        <c:crossAx val="123963811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[customer_satisfaction_analysis_.xlsm]Analysis#4!PivotTable22</c:name>
    <c:fmtId val="3"/>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sz="1200" i="1"/>
              <a:t>As the call volume increases, the waiting times also become longer, resulting in a significant decline in customer satisfaction ratings.</a:t>
            </a:r>
          </a:p>
        </c:rich>
      </c:tx>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AD2C5"/>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2A3E68"/>
          </a:solidFill>
          <a:ln>
            <a:noFill/>
          </a:ln>
          <a:effectLst/>
        </c:spPr>
      </c:pivotFmt>
      <c:pivotFmt>
        <c:idx val="3"/>
        <c:spPr>
          <a:solidFill>
            <a:srgbClr val="2A3E68"/>
          </a:solidFill>
          <a:ln>
            <a:noFill/>
          </a:ln>
          <a:effectLst/>
        </c:spPr>
      </c:pivotFmt>
      <c:pivotFmt>
        <c:idx val="4"/>
        <c:spPr>
          <a:solidFill>
            <a:srgbClr val="CAD2C5"/>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2A3E68"/>
          </a:solidFill>
          <a:ln>
            <a:noFill/>
          </a:ln>
          <a:effectLst/>
        </c:spPr>
      </c:pivotFmt>
      <c:pivotFmt>
        <c:idx val="6"/>
        <c:spPr>
          <a:solidFill>
            <a:srgbClr val="2A3E68"/>
          </a:solidFill>
          <a:ln>
            <a:noFill/>
          </a:ln>
          <a:effectLst/>
        </c:spPr>
      </c:pivotFmt>
      <c:pivotFmt>
        <c:idx val="7"/>
        <c:spPr>
          <a:solidFill>
            <a:schemeClr val="accent1"/>
          </a:solidFill>
          <a:ln w="28575" cap="rnd">
            <a:solidFill>
              <a:schemeClr val="accent1">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CAD2C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2A3E68"/>
          </a:solidFill>
          <a:ln>
            <a:noFill/>
          </a:ln>
          <a:effectLst/>
        </c:spPr>
      </c:pivotFmt>
      <c:pivotFmt>
        <c:idx val="10"/>
        <c:spPr>
          <a:solidFill>
            <a:srgbClr val="2A3E68"/>
          </a:solidFill>
          <a:ln>
            <a:noFill/>
          </a:ln>
          <a:effectLst/>
        </c:spPr>
      </c:pivotFmt>
      <c:pivotFmt>
        <c:idx val="11"/>
        <c:spPr>
          <a:ln w="28575" cap="rnd">
            <a:solidFill>
              <a:schemeClr val="accent1">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lumMod val="60000"/>
                <a:lumOff val="40000"/>
              </a:schemeClr>
            </a:solidFill>
            <a:round/>
          </a:ln>
          <a:effectLst/>
        </c:spPr>
        <c:marker>
          <c:symbol val="none"/>
        </c:marker>
      </c:pivotFmt>
      <c:pivotFmt>
        <c:idx val="13"/>
        <c:spPr>
          <a:ln w="28575" cap="rnd">
            <a:solidFill>
              <a:schemeClr val="accent1">
                <a:lumMod val="60000"/>
                <a:lumOff val="40000"/>
              </a:schemeClr>
            </a:solidFill>
            <a:round/>
          </a:ln>
          <a:effectLst/>
        </c:spPr>
        <c:marker>
          <c:symbol val="none"/>
        </c:marker>
      </c:pivotFmt>
    </c:pivotFmts>
    <c:plotArea>
      <c:layout/>
      <c:barChart>
        <c:barDir val="col"/>
        <c:grouping val="clustered"/>
        <c:varyColors val="0"/>
        <c:ser>
          <c:idx val="0"/>
          <c:order val="0"/>
          <c:tx>
            <c:strRef>
              <c:f>'Analysis#4'!$B$1</c:f>
              <c:strCache>
                <c:ptCount val="1"/>
                <c:pt idx="0">
                  <c:v>Sum of calls_handled</c:v>
                </c:pt>
              </c:strCache>
            </c:strRef>
          </c:tx>
          <c:spPr>
            <a:solidFill>
              <a:srgbClr val="CAD2C5"/>
            </a:solidFill>
            <a:ln>
              <a:noFill/>
            </a:ln>
            <a:effectLst/>
          </c:spPr>
          <c:invertIfNegative val="0"/>
          <c:dPt>
            <c:idx val="5"/>
            <c:invertIfNegative val="0"/>
            <c:bubble3D val="0"/>
            <c:spPr>
              <a:solidFill>
                <a:srgbClr val="2A3E68"/>
              </a:solidFill>
              <a:ln>
                <a:noFill/>
              </a:ln>
              <a:effectLst/>
            </c:spPr>
            <c:extLst>
              <c:ext xmlns:c16="http://schemas.microsoft.com/office/drawing/2014/chart" uri="{C3380CC4-5D6E-409C-BE32-E72D297353CC}">
                <c16:uniqueId val="{00000001-29FB-4EB0-83BF-4AAC552CB19A}"/>
              </c:ext>
            </c:extLst>
          </c:dPt>
          <c:dPt>
            <c:idx val="6"/>
            <c:invertIfNegative val="0"/>
            <c:bubble3D val="0"/>
            <c:spPr>
              <a:solidFill>
                <a:srgbClr val="2A3E68"/>
              </a:solidFill>
              <a:ln>
                <a:noFill/>
              </a:ln>
              <a:effectLst/>
            </c:spPr>
            <c:extLst>
              <c:ext xmlns:c16="http://schemas.microsoft.com/office/drawing/2014/chart" uri="{C3380CC4-5D6E-409C-BE32-E72D297353CC}">
                <c16:uniqueId val="{00000003-29FB-4EB0-83BF-4AAC552CB19A}"/>
              </c:ext>
            </c:extLst>
          </c:dPt>
          <c:cat>
            <c:strRef>
              <c:f>'Analysis#4'!$A$2:$A$9</c:f>
              <c:strCache>
                <c:ptCount val="7"/>
                <c:pt idx="0">
                  <c:v>Sun</c:v>
                </c:pt>
                <c:pt idx="1">
                  <c:v>Mon</c:v>
                </c:pt>
                <c:pt idx="2">
                  <c:v>Tue</c:v>
                </c:pt>
                <c:pt idx="3">
                  <c:v>Wed</c:v>
                </c:pt>
                <c:pt idx="4">
                  <c:v>Thu</c:v>
                </c:pt>
                <c:pt idx="5">
                  <c:v>Fri</c:v>
                </c:pt>
                <c:pt idx="6">
                  <c:v>Sat</c:v>
                </c:pt>
              </c:strCache>
            </c:strRef>
          </c:cat>
          <c:val>
            <c:numRef>
              <c:f>'Analysis#4'!$B$2:$B$9</c:f>
              <c:numCache>
                <c:formatCode>General</c:formatCode>
                <c:ptCount val="7"/>
                <c:pt idx="0">
                  <c:v>733</c:v>
                </c:pt>
                <c:pt idx="1">
                  <c:v>561</c:v>
                </c:pt>
                <c:pt idx="2">
                  <c:v>700</c:v>
                </c:pt>
                <c:pt idx="3">
                  <c:v>755</c:v>
                </c:pt>
                <c:pt idx="4">
                  <c:v>785</c:v>
                </c:pt>
                <c:pt idx="5">
                  <c:v>1008</c:v>
                </c:pt>
                <c:pt idx="6">
                  <c:v>1031</c:v>
                </c:pt>
              </c:numCache>
            </c:numRef>
          </c:val>
          <c:extLst>
            <c:ext xmlns:c16="http://schemas.microsoft.com/office/drawing/2014/chart" uri="{C3380CC4-5D6E-409C-BE32-E72D297353CC}">
              <c16:uniqueId val="{00000004-29FB-4EB0-83BF-4AAC552CB19A}"/>
            </c:ext>
          </c:extLst>
        </c:ser>
        <c:dLbls>
          <c:showLegendKey val="0"/>
          <c:showVal val="0"/>
          <c:showCatName val="0"/>
          <c:showSerName val="0"/>
          <c:showPercent val="0"/>
          <c:showBubbleSize val="0"/>
        </c:dLbls>
        <c:gapWidth val="30"/>
        <c:overlap val="-27"/>
        <c:axId val="1673601616"/>
        <c:axId val="1673602576"/>
      </c:barChart>
      <c:lineChart>
        <c:grouping val="standard"/>
        <c:varyColors val="0"/>
        <c:ser>
          <c:idx val="1"/>
          <c:order val="1"/>
          <c:tx>
            <c:strRef>
              <c:f>'Analysis#4'!$C$1</c:f>
              <c:strCache>
                <c:ptCount val="1"/>
                <c:pt idx="0">
                  <c:v>Average of avg_queue_time</c:v>
                </c:pt>
              </c:strCache>
            </c:strRef>
          </c:tx>
          <c:spPr>
            <a:ln w="28575" cap="rnd">
              <a:solidFill>
                <a:schemeClr val="accent1">
                  <a:lumMod val="60000"/>
                  <a:lumOff val="40000"/>
                </a:schemeClr>
              </a:solidFill>
              <a:round/>
            </a:ln>
            <a:effectLst/>
          </c:spPr>
          <c:marker>
            <c:symbol val="none"/>
          </c:marker>
          <c:cat>
            <c:strRef>
              <c:f>'Analysis#4'!$A$2:$A$9</c:f>
              <c:strCache>
                <c:ptCount val="7"/>
                <c:pt idx="0">
                  <c:v>Sun</c:v>
                </c:pt>
                <c:pt idx="1">
                  <c:v>Mon</c:v>
                </c:pt>
                <c:pt idx="2">
                  <c:v>Tue</c:v>
                </c:pt>
                <c:pt idx="3">
                  <c:v>Wed</c:v>
                </c:pt>
                <c:pt idx="4">
                  <c:v>Thu</c:v>
                </c:pt>
                <c:pt idx="5">
                  <c:v>Fri</c:v>
                </c:pt>
                <c:pt idx="6">
                  <c:v>Sat</c:v>
                </c:pt>
              </c:strCache>
            </c:strRef>
          </c:cat>
          <c:val>
            <c:numRef>
              <c:f>'Analysis#4'!$C$2:$C$9</c:f>
              <c:numCache>
                <c:formatCode>0.0</c:formatCode>
                <c:ptCount val="7"/>
                <c:pt idx="0">
                  <c:v>44.222222222222221</c:v>
                </c:pt>
                <c:pt idx="1">
                  <c:v>47.357142857142854</c:v>
                </c:pt>
                <c:pt idx="2">
                  <c:v>48.114285714285714</c:v>
                </c:pt>
                <c:pt idx="3">
                  <c:v>41.027027027027025</c:v>
                </c:pt>
                <c:pt idx="4">
                  <c:v>45.763157894736842</c:v>
                </c:pt>
                <c:pt idx="5">
                  <c:v>60.736842105263158</c:v>
                </c:pt>
                <c:pt idx="6">
                  <c:v>66.179487179487182</c:v>
                </c:pt>
              </c:numCache>
            </c:numRef>
          </c:val>
          <c:smooth val="0"/>
          <c:extLst>
            <c:ext xmlns:c16="http://schemas.microsoft.com/office/drawing/2014/chart" uri="{C3380CC4-5D6E-409C-BE32-E72D297353CC}">
              <c16:uniqueId val="{00000005-29FB-4EB0-83BF-4AAC552CB19A}"/>
            </c:ext>
          </c:extLst>
        </c:ser>
        <c:dLbls>
          <c:showLegendKey val="0"/>
          <c:showVal val="0"/>
          <c:showCatName val="0"/>
          <c:showSerName val="0"/>
          <c:showPercent val="0"/>
          <c:showBubbleSize val="0"/>
        </c:dLbls>
        <c:marker val="1"/>
        <c:smooth val="0"/>
        <c:axId val="1693202672"/>
        <c:axId val="1693203632"/>
      </c:lineChart>
      <c:catAx>
        <c:axId val="167360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602576"/>
        <c:crosses val="autoZero"/>
        <c:auto val="1"/>
        <c:lblAlgn val="ctr"/>
        <c:lblOffset val="100"/>
        <c:noMultiLvlLbl val="0"/>
      </c:catAx>
      <c:valAx>
        <c:axId val="16736025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601616"/>
        <c:crosses val="autoZero"/>
        <c:crossBetween val="between"/>
      </c:valAx>
      <c:valAx>
        <c:axId val="1693203632"/>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202672"/>
        <c:crosses val="max"/>
        <c:crossBetween val="between"/>
      </c:valAx>
      <c:catAx>
        <c:axId val="1693202672"/>
        <c:scaling>
          <c:orientation val="minMax"/>
        </c:scaling>
        <c:delete val="1"/>
        <c:axPos val="b"/>
        <c:numFmt formatCode="General" sourceLinked="1"/>
        <c:majorTickMark val="out"/>
        <c:minorTickMark val="none"/>
        <c:tickLblPos val="nextTo"/>
        <c:crossAx val="169320363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[customer_satisfaction_analysis_.xlsm]Analysis#5!PivotTable34</c:name>
    <c:fmtId val="3"/>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pivotFmt>
      <c:pivotFmt>
        <c:idx val="3"/>
        <c:spPr>
          <a:ln w="28575" cap="rnd">
            <a:solidFill>
              <a:srgbClr val="C00000"/>
            </a:solidFill>
            <a:round/>
          </a:ln>
          <a:effectLst/>
        </c:spPr>
        <c:marker>
          <c:symbol val="none"/>
        </c:marker>
      </c:pivotFmt>
    </c:pivotFmts>
    <c:plotArea>
      <c:layout/>
      <c:barChart>
        <c:barDir val="col"/>
        <c:grouping val="clustered"/>
        <c:varyColors val="0"/>
        <c:ser>
          <c:idx val="0"/>
          <c:order val="0"/>
          <c:tx>
            <c:strRef>
              <c:f>'Analysis#5'!$B$23</c:f>
              <c:strCache>
                <c:ptCount val="1"/>
                <c:pt idx="0">
                  <c:v>Sum of calls_handled</c:v>
                </c:pt>
              </c:strCache>
            </c:strRef>
          </c:tx>
          <c:spPr>
            <a:noFill/>
            <a:ln>
              <a:noFill/>
            </a:ln>
            <a:effectLst/>
          </c:spPr>
          <c:invertIfNegative val="0"/>
          <c:cat>
            <c:strRef>
              <c:f>'Analysis#5'!$A$24:$A$31</c:f>
              <c:strCache>
                <c:ptCount val="7"/>
                <c:pt idx="0">
                  <c:v>Sun</c:v>
                </c:pt>
                <c:pt idx="1">
                  <c:v>Mon</c:v>
                </c:pt>
                <c:pt idx="2">
                  <c:v>Tue</c:v>
                </c:pt>
                <c:pt idx="3">
                  <c:v>Wed</c:v>
                </c:pt>
                <c:pt idx="4">
                  <c:v>Thu</c:v>
                </c:pt>
                <c:pt idx="5">
                  <c:v>Fri</c:v>
                </c:pt>
                <c:pt idx="6">
                  <c:v>Sat</c:v>
                </c:pt>
              </c:strCache>
            </c:strRef>
          </c:cat>
          <c:val>
            <c:numRef>
              <c:f>'Analysis#5'!$B$24:$B$31</c:f>
              <c:numCache>
                <c:formatCode>General</c:formatCode>
                <c:ptCount val="7"/>
                <c:pt idx="0">
                  <c:v>733</c:v>
                </c:pt>
                <c:pt idx="1">
                  <c:v>561</c:v>
                </c:pt>
                <c:pt idx="2">
                  <c:v>700</c:v>
                </c:pt>
                <c:pt idx="3">
                  <c:v>755</c:v>
                </c:pt>
                <c:pt idx="4">
                  <c:v>785</c:v>
                </c:pt>
                <c:pt idx="5">
                  <c:v>1008</c:v>
                </c:pt>
                <c:pt idx="6">
                  <c:v>1031</c:v>
                </c:pt>
              </c:numCache>
            </c:numRef>
          </c:val>
          <c:extLst>
            <c:ext xmlns:c16="http://schemas.microsoft.com/office/drawing/2014/chart" uri="{C3380CC4-5D6E-409C-BE32-E72D297353CC}">
              <c16:uniqueId val="{00000000-2C70-4852-8CEE-E5E79AFCF7DC}"/>
            </c:ext>
          </c:extLst>
        </c:ser>
        <c:dLbls>
          <c:showLegendKey val="0"/>
          <c:showVal val="0"/>
          <c:showCatName val="0"/>
          <c:showSerName val="0"/>
          <c:showPercent val="0"/>
          <c:showBubbleSize val="0"/>
        </c:dLbls>
        <c:gapWidth val="219"/>
        <c:overlap val="-27"/>
        <c:axId val="1697412416"/>
        <c:axId val="1697410016"/>
      </c:barChart>
      <c:lineChart>
        <c:grouping val="standard"/>
        <c:varyColors val="0"/>
        <c:ser>
          <c:idx val="1"/>
          <c:order val="1"/>
          <c:tx>
            <c:strRef>
              <c:f>'Analysis#5'!$C$23</c:f>
              <c:strCache>
                <c:ptCount val="1"/>
                <c:pt idx="0">
                  <c:v>Average of Customer Rating</c:v>
                </c:pt>
              </c:strCache>
            </c:strRef>
          </c:tx>
          <c:spPr>
            <a:ln w="28575" cap="rnd">
              <a:solidFill>
                <a:srgbClr val="C00000"/>
              </a:solidFill>
              <a:round/>
            </a:ln>
            <a:effectLst/>
          </c:spPr>
          <c:marker>
            <c:symbol val="none"/>
          </c:marker>
          <c:dPt>
            <c:idx val="5"/>
            <c:marker>
              <c:symbol val="none"/>
            </c:marker>
            <c:bubble3D val="0"/>
            <c:spPr>
              <a:ln w="28575" cap="rnd">
                <a:solidFill>
                  <a:srgbClr val="C00000"/>
                </a:solidFill>
                <a:round/>
              </a:ln>
              <a:effectLst/>
            </c:spPr>
            <c:extLst>
              <c:ext xmlns:c16="http://schemas.microsoft.com/office/drawing/2014/chart" uri="{C3380CC4-5D6E-409C-BE32-E72D297353CC}">
                <c16:uniqueId val="{00000003-2C70-4852-8CEE-E5E79AFCF7DC}"/>
              </c:ext>
            </c:extLst>
          </c:dPt>
          <c:dPt>
            <c:idx val="6"/>
            <c:marker>
              <c:symbol val="none"/>
            </c:marker>
            <c:bubble3D val="0"/>
            <c:spPr>
              <a:ln w="28575" cap="rnd">
                <a:solidFill>
                  <a:srgbClr val="C00000"/>
                </a:solidFill>
                <a:round/>
              </a:ln>
              <a:effectLst/>
            </c:spPr>
            <c:extLst>
              <c:ext xmlns:c16="http://schemas.microsoft.com/office/drawing/2014/chart" uri="{C3380CC4-5D6E-409C-BE32-E72D297353CC}">
                <c16:uniqueId val="{00000004-2C70-4852-8CEE-E5E79AFCF7DC}"/>
              </c:ext>
            </c:extLst>
          </c:dPt>
          <c:cat>
            <c:strRef>
              <c:f>'Analysis#5'!$A$24:$A$31</c:f>
              <c:strCache>
                <c:ptCount val="7"/>
                <c:pt idx="0">
                  <c:v>Sun</c:v>
                </c:pt>
                <c:pt idx="1">
                  <c:v>Mon</c:v>
                </c:pt>
                <c:pt idx="2">
                  <c:v>Tue</c:v>
                </c:pt>
                <c:pt idx="3">
                  <c:v>Wed</c:v>
                </c:pt>
                <c:pt idx="4">
                  <c:v>Thu</c:v>
                </c:pt>
                <c:pt idx="5">
                  <c:v>Fri</c:v>
                </c:pt>
                <c:pt idx="6">
                  <c:v>Sat</c:v>
                </c:pt>
              </c:strCache>
            </c:strRef>
          </c:cat>
          <c:val>
            <c:numRef>
              <c:f>'Analysis#5'!$C$24:$C$31</c:f>
              <c:numCache>
                <c:formatCode>0.0</c:formatCode>
                <c:ptCount val="7"/>
                <c:pt idx="0">
                  <c:v>7.9722222222222223</c:v>
                </c:pt>
                <c:pt idx="1">
                  <c:v>7.75</c:v>
                </c:pt>
                <c:pt idx="2">
                  <c:v>7.7714285714285714</c:v>
                </c:pt>
                <c:pt idx="3">
                  <c:v>8.2162162162162158</c:v>
                </c:pt>
                <c:pt idx="4">
                  <c:v>7.9473684210526319</c:v>
                </c:pt>
                <c:pt idx="5">
                  <c:v>6.7894736842105265</c:v>
                </c:pt>
                <c:pt idx="6">
                  <c:v>6.384615384615385</c:v>
                </c:pt>
              </c:numCache>
            </c:numRef>
          </c:val>
          <c:smooth val="0"/>
          <c:extLst>
            <c:ext xmlns:c16="http://schemas.microsoft.com/office/drawing/2014/chart" uri="{C3380CC4-5D6E-409C-BE32-E72D297353CC}">
              <c16:uniqueId val="{00000001-2C70-4852-8CEE-E5E79AFCF7DC}"/>
            </c:ext>
          </c:extLst>
        </c:ser>
        <c:dLbls>
          <c:showLegendKey val="0"/>
          <c:showVal val="0"/>
          <c:showCatName val="0"/>
          <c:showSerName val="0"/>
          <c:showPercent val="0"/>
          <c:showBubbleSize val="0"/>
        </c:dLbls>
        <c:marker val="1"/>
        <c:smooth val="0"/>
        <c:axId val="1704485584"/>
        <c:axId val="1697411936"/>
      </c:lineChart>
      <c:catAx>
        <c:axId val="1697412416"/>
        <c:scaling>
          <c:orientation val="minMax"/>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410016"/>
        <c:crosses val="autoZero"/>
        <c:auto val="1"/>
        <c:lblAlgn val="ctr"/>
        <c:lblOffset val="100"/>
        <c:noMultiLvlLbl val="0"/>
      </c:catAx>
      <c:valAx>
        <c:axId val="1697410016"/>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412416"/>
        <c:crosses val="autoZero"/>
        <c:crossBetween val="between"/>
      </c:valAx>
      <c:valAx>
        <c:axId val="1697411936"/>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85584"/>
        <c:crosses val="max"/>
        <c:crossBetween val="between"/>
      </c:valAx>
      <c:catAx>
        <c:axId val="1704485584"/>
        <c:scaling>
          <c:orientation val="minMax"/>
        </c:scaling>
        <c:delete val="1"/>
        <c:axPos val="b"/>
        <c:numFmt formatCode="General" sourceLinked="1"/>
        <c:majorTickMark val="out"/>
        <c:minorTickMark val="none"/>
        <c:tickLblPos val="nextTo"/>
        <c:crossAx val="169741193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[customer_satisfaction_analysis_.xlsm]Charts!PivotTable9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Call Volumes</a:t>
            </a:r>
            <a:r>
              <a:rPr lang="en-US" baseline="0"/>
              <a:t> By Product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Charts!$C$14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Charts!$B$15:$B$18</c:f>
              <c:strCache>
                <c:ptCount val="3"/>
                <c:pt idx="0">
                  <c:v>Personal Loan</c:v>
                </c:pt>
                <c:pt idx="1">
                  <c:v>Car Loan</c:v>
                </c:pt>
                <c:pt idx="2">
                  <c:v>Property Loan</c:v>
                </c:pt>
              </c:strCache>
            </c:strRef>
          </c:cat>
          <c:val>
            <c:numRef>
              <c:f>Charts!$C$15:$C$18</c:f>
              <c:numCache>
                <c:formatCode>General</c:formatCode>
                <c:ptCount val="3"/>
                <c:pt idx="0">
                  <c:v>1713</c:v>
                </c:pt>
                <c:pt idx="1">
                  <c:v>1881</c:v>
                </c:pt>
                <c:pt idx="2">
                  <c:v>1979</c:v>
                </c:pt>
              </c:numCache>
            </c:numRef>
          </c:val>
          <c:extLst>
            <c:ext xmlns:c16="http://schemas.microsoft.com/office/drawing/2014/chart" uri="{C3380CC4-5D6E-409C-BE32-E72D297353CC}">
              <c16:uniqueId val="{00000000-E902-4956-B323-1ADE2777EE66}"/>
            </c:ext>
          </c:extLst>
        </c:ser>
        <c:dLbls>
          <c:showLegendKey val="0"/>
          <c:showVal val="0"/>
          <c:showCatName val="0"/>
          <c:showSerName val="0"/>
          <c:showPercent val="0"/>
          <c:showBubbleSize val="0"/>
        </c:dLbls>
        <c:gapWidth val="182"/>
        <c:axId val="665855728"/>
        <c:axId val="665854288"/>
      </c:barChart>
      <c:catAx>
        <c:axId val="66585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854288"/>
        <c:crosses val="autoZero"/>
        <c:auto val="1"/>
        <c:lblAlgn val="ctr"/>
        <c:lblOffset val="100"/>
        <c:noMultiLvlLbl val="0"/>
      </c:catAx>
      <c:valAx>
        <c:axId val="665854288"/>
        <c:scaling>
          <c:orientation val="minMax"/>
        </c:scaling>
        <c:delete val="1"/>
        <c:axPos val="b"/>
        <c:numFmt formatCode="General" sourceLinked="1"/>
        <c:majorTickMark val="none"/>
        <c:minorTickMark val="none"/>
        <c:tickLblPos val="nextTo"/>
        <c:crossAx val="66585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[customer_satisfaction_analysis_.xlsm]Charts!PivotTable12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Ratings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manualLayout>
          <c:layoutTarget val="inner"/>
          <c:xMode val="edge"/>
          <c:yMode val="edge"/>
          <c:x val="0.12843369368233334"/>
          <c:y val="0.29148221055701373"/>
          <c:w val="0.45241403365481114"/>
          <c:h val="0.57023002333041706"/>
        </c:manualLayout>
      </c:layout>
      <c:pieChart>
        <c:varyColors val="1"/>
        <c:ser>
          <c:idx val="0"/>
          <c:order val="0"/>
          <c:tx>
            <c:strRef>
              <c:f>Charts!$C$28</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F56-4D4D-9F61-869BE7FED4F2}"/>
              </c:ext>
            </c:extLst>
          </c:dPt>
          <c:dPt>
            <c:idx val="1"/>
            <c:bubble3D val="0"/>
            <c:spPr>
              <a:solidFill>
                <a:schemeClr val="accent2"/>
              </a:solidFill>
              <a:ln>
                <a:noFill/>
              </a:ln>
              <a:effectLst/>
            </c:spPr>
            <c:extLst>
              <c:ext xmlns:c16="http://schemas.microsoft.com/office/drawing/2014/chart" uri="{C3380CC4-5D6E-409C-BE32-E72D297353CC}">
                <c16:uniqueId val="{00000003-2F56-4D4D-9F61-869BE7FED4F2}"/>
              </c:ext>
            </c:extLst>
          </c:dPt>
          <c:dPt>
            <c:idx val="2"/>
            <c:bubble3D val="0"/>
            <c:spPr>
              <a:solidFill>
                <a:schemeClr val="accent3"/>
              </a:solidFill>
              <a:ln>
                <a:noFill/>
              </a:ln>
              <a:effectLst/>
            </c:spPr>
            <c:extLst>
              <c:ext xmlns:c16="http://schemas.microsoft.com/office/drawing/2014/chart" uri="{C3380CC4-5D6E-409C-BE32-E72D297353CC}">
                <c16:uniqueId val="{00000005-2F56-4D4D-9F61-869BE7FED4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Charts!$B$29:$B$32</c:f>
              <c:strCache>
                <c:ptCount val="3"/>
                <c:pt idx="0">
                  <c:v>Property Loan</c:v>
                </c:pt>
                <c:pt idx="1">
                  <c:v>Personal Loan</c:v>
                </c:pt>
                <c:pt idx="2">
                  <c:v>Car Loan</c:v>
                </c:pt>
              </c:strCache>
            </c:strRef>
          </c:cat>
          <c:val>
            <c:numRef>
              <c:f>Charts!$C$29:$C$32</c:f>
              <c:numCache>
                <c:formatCode>0.00</c:formatCode>
                <c:ptCount val="3"/>
                <c:pt idx="0">
                  <c:v>7.4285714285714288</c:v>
                </c:pt>
                <c:pt idx="1">
                  <c:v>7.5542168674698793</c:v>
                </c:pt>
                <c:pt idx="2">
                  <c:v>7.5952380952380949</c:v>
                </c:pt>
              </c:numCache>
            </c:numRef>
          </c:val>
          <c:extLst>
            <c:ext xmlns:c16="http://schemas.microsoft.com/office/drawing/2014/chart" uri="{C3380CC4-5D6E-409C-BE32-E72D297353CC}">
              <c16:uniqueId val="{00000000-F5B9-4943-AFCC-610EEC28EA7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[customer_satisfaction_analysis_.xlsm]Charts!PivotTable13</c:name>
    <c:fmtId val="3"/>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Charts!$C$35</c:f>
              <c:strCache>
                <c:ptCount val="1"/>
                <c:pt idx="0">
                  <c:v>Average of calls_handled</c:v>
                </c:pt>
              </c:strCache>
            </c:strRef>
          </c:tx>
          <c:spPr>
            <a:ln w="28575" cap="rnd">
              <a:solidFill>
                <a:schemeClr val="accent1"/>
              </a:solidFill>
              <a:round/>
            </a:ln>
            <a:effectLst/>
          </c:spPr>
          <c:marker>
            <c:symbol val="none"/>
          </c:marker>
          <c:cat>
            <c:strRef>
              <c:f>Charts!$B$36:$B$39</c:f>
              <c:strCache>
                <c:ptCount val="3"/>
                <c:pt idx="0">
                  <c:v>Car Loan</c:v>
                </c:pt>
                <c:pt idx="1">
                  <c:v>Personal Loan</c:v>
                </c:pt>
                <c:pt idx="2">
                  <c:v>Property Loan</c:v>
                </c:pt>
              </c:strCache>
            </c:strRef>
          </c:cat>
          <c:val>
            <c:numRef>
              <c:f>Charts!$C$36:$C$39</c:f>
              <c:numCache>
                <c:formatCode>0.00</c:formatCode>
                <c:ptCount val="3"/>
                <c:pt idx="0">
                  <c:v>22.392857142857142</c:v>
                </c:pt>
                <c:pt idx="1">
                  <c:v>20.638554216867469</c:v>
                </c:pt>
                <c:pt idx="2">
                  <c:v>23.55952380952381</c:v>
                </c:pt>
              </c:numCache>
            </c:numRef>
          </c:val>
          <c:extLst>
            <c:ext xmlns:c16="http://schemas.microsoft.com/office/drawing/2014/chart" uri="{C3380CC4-5D6E-409C-BE32-E72D297353CC}">
              <c16:uniqueId val="{00000000-B4ED-4057-A171-27648173F92F}"/>
            </c:ext>
          </c:extLst>
        </c:ser>
        <c:ser>
          <c:idx val="1"/>
          <c:order val="1"/>
          <c:tx>
            <c:strRef>
              <c:f>Charts!$D$35</c:f>
              <c:strCache>
                <c:ptCount val="1"/>
                <c:pt idx="0">
                  <c:v>Average of avg_queue_time</c:v>
                </c:pt>
              </c:strCache>
            </c:strRef>
          </c:tx>
          <c:spPr>
            <a:ln w="28575" cap="rnd">
              <a:solidFill>
                <a:schemeClr val="accent2"/>
              </a:solidFill>
              <a:round/>
            </a:ln>
            <a:effectLst/>
          </c:spPr>
          <c:marker>
            <c:symbol val="none"/>
          </c:marker>
          <c:cat>
            <c:strRef>
              <c:f>Charts!$B$36:$B$39</c:f>
              <c:strCache>
                <c:ptCount val="3"/>
                <c:pt idx="0">
                  <c:v>Car Loan</c:v>
                </c:pt>
                <c:pt idx="1">
                  <c:v>Personal Loan</c:v>
                </c:pt>
                <c:pt idx="2">
                  <c:v>Property Loan</c:v>
                </c:pt>
              </c:strCache>
            </c:strRef>
          </c:cat>
          <c:val>
            <c:numRef>
              <c:f>Charts!$D$36:$D$39</c:f>
              <c:numCache>
                <c:formatCode>0.00</c:formatCode>
                <c:ptCount val="3"/>
                <c:pt idx="0">
                  <c:v>49.476190476190474</c:v>
                </c:pt>
                <c:pt idx="1">
                  <c:v>49.53012048192771</c:v>
                </c:pt>
                <c:pt idx="2">
                  <c:v>53.345238095238095</c:v>
                </c:pt>
              </c:numCache>
            </c:numRef>
          </c:val>
          <c:extLst>
            <c:ext xmlns:c16="http://schemas.microsoft.com/office/drawing/2014/chart" uri="{C3380CC4-5D6E-409C-BE32-E72D297353CC}">
              <c16:uniqueId val="{00000001-B4ED-4057-A171-27648173F92F}"/>
            </c:ext>
          </c:extLst>
        </c:ser>
        <c:dLbls>
          <c:showLegendKey val="0"/>
          <c:showVal val="0"/>
          <c:showCatName val="0"/>
          <c:showSerName val="0"/>
          <c:showPercent val="0"/>
          <c:showBubbleSize val="0"/>
        </c:dLbls>
        <c:axId val="1738715199"/>
        <c:axId val="1738709439"/>
      </c:radarChart>
      <c:catAx>
        <c:axId val="1738715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8709439"/>
        <c:crosses val="autoZero"/>
        <c:auto val="1"/>
        <c:lblAlgn val="ctr"/>
        <c:lblOffset val="100"/>
        <c:noMultiLvlLbl val="0"/>
      </c:catAx>
      <c:valAx>
        <c:axId val="173870943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738715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[customer_satisfaction_analysis_.xlsm]Charts!PivotTable14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ATH By</a:t>
            </a:r>
            <a:r>
              <a:rPr lang="en-US" baseline="0"/>
              <a:t>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4A9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Charts!$C$46</c:f>
              <c:strCache>
                <c:ptCount val="1"/>
                <c:pt idx="0">
                  <c:v>Total</c:v>
                </c:pt>
              </c:strCache>
            </c:strRef>
          </c:tx>
          <c:spPr>
            <a:solidFill>
              <a:srgbClr val="84A9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Charts!$B$47:$B$50</c:f>
              <c:strCache>
                <c:ptCount val="3"/>
                <c:pt idx="0">
                  <c:v>Property Loan</c:v>
                </c:pt>
                <c:pt idx="1">
                  <c:v>Car Loan</c:v>
                </c:pt>
                <c:pt idx="2">
                  <c:v>Personal Loan</c:v>
                </c:pt>
              </c:strCache>
            </c:strRef>
          </c:cat>
          <c:val>
            <c:numRef>
              <c:f>Charts!$C$47:$C$50</c:f>
              <c:numCache>
                <c:formatCode>mm:ss</c:formatCode>
                <c:ptCount val="3"/>
                <c:pt idx="0">
                  <c:v>4.1045249118165789E-3</c:v>
                </c:pt>
                <c:pt idx="1">
                  <c:v>5.4727458112874784E-3</c:v>
                </c:pt>
                <c:pt idx="2">
                  <c:v>1.2994896251673356E-2</c:v>
                </c:pt>
              </c:numCache>
            </c:numRef>
          </c:val>
          <c:extLst>
            <c:ext xmlns:c16="http://schemas.microsoft.com/office/drawing/2014/chart" uri="{C3380CC4-5D6E-409C-BE32-E72D297353CC}">
              <c16:uniqueId val="{00000000-0E1A-41DD-A4A4-7548074F6E5D}"/>
            </c:ext>
          </c:extLst>
        </c:ser>
        <c:dLbls>
          <c:dLblPos val="outEnd"/>
          <c:showLegendKey val="0"/>
          <c:showVal val="1"/>
          <c:showCatName val="0"/>
          <c:showSerName val="0"/>
          <c:showPercent val="0"/>
          <c:showBubbleSize val="0"/>
        </c:dLbls>
        <c:gapWidth val="182"/>
        <c:axId val="1659335743"/>
        <c:axId val="1659344863"/>
      </c:barChart>
      <c:catAx>
        <c:axId val="16593357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9344863"/>
        <c:crosses val="autoZero"/>
        <c:auto val="1"/>
        <c:lblAlgn val="ctr"/>
        <c:lblOffset val="100"/>
        <c:noMultiLvlLbl val="0"/>
      </c:catAx>
      <c:valAx>
        <c:axId val="1659344863"/>
        <c:scaling>
          <c:orientation val="minMax"/>
        </c:scaling>
        <c:delete val="1"/>
        <c:axPos val="b"/>
        <c:numFmt formatCode="mm:ss" sourceLinked="1"/>
        <c:majorTickMark val="none"/>
        <c:minorTickMark val="none"/>
        <c:tickLblPos val="nextTo"/>
        <c:crossAx val="1659335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[customer_satisfaction_analysis_.xlsm]Charts!PivotTable11</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Queue Time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Charts!$C$21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Charts!$B$22:$B$25</c:f>
              <c:strCache>
                <c:ptCount val="3"/>
                <c:pt idx="0">
                  <c:v>Car Loan</c:v>
                </c:pt>
                <c:pt idx="1">
                  <c:v>Personal Loan</c:v>
                </c:pt>
                <c:pt idx="2">
                  <c:v>Property Loan</c:v>
                </c:pt>
              </c:strCache>
            </c:strRef>
          </c:cat>
          <c:val>
            <c:numRef>
              <c:f>Charts!$C$22:$C$25</c:f>
              <c:numCache>
                <c:formatCode>0.00%</c:formatCode>
                <c:ptCount val="3"/>
                <c:pt idx="0">
                  <c:v>0.97415467599025796</c:v>
                </c:pt>
                <c:pt idx="1">
                  <c:v>0.97521652345182419</c:v>
                </c:pt>
                <c:pt idx="2">
                  <c:v>1.0503337591704394</c:v>
                </c:pt>
              </c:numCache>
            </c:numRef>
          </c:val>
          <c:extLst>
            <c:ext xmlns:c16="http://schemas.microsoft.com/office/drawing/2014/chart" uri="{C3380CC4-5D6E-409C-BE32-E72D297353CC}">
              <c16:uniqueId val="{00000000-59FF-45D0-934B-8CD94D85D2B2}"/>
            </c:ext>
          </c:extLst>
        </c:ser>
        <c:dLbls>
          <c:dLblPos val="outEnd"/>
          <c:showLegendKey val="0"/>
          <c:showVal val="1"/>
          <c:showCatName val="0"/>
          <c:showSerName val="0"/>
          <c:showPercent val="0"/>
          <c:showBubbleSize val="0"/>
        </c:dLbls>
        <c:gapWidth val="182"/>
        <c:axId val="1024938592"/>
        <c:axId val="1024939552"/>
      </c:barChart>
      <c:catAx>
        <c:axId val="1024938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939552"/>
        <c:crosses val="autoZero"/>
        <c:auto val="1"/>
        <c:lblAlgn val="ctr"/>
        <c:lblOffset val="100"/>
        <c:noMultiLvlLbl val="0"/>
      </c:catAx>
      <c:valAx>
        <c:axId val="1024939552"/>
        <c:scaling>
          <c:orientation val="minMax"/>
        </c:scaling>
        <c:delete val="1"/>
        <c:axPos val="b"/>
        <c:numFmt formatCode="0.00%" sourceLinked="1"/>
        <c:majorTickMark val="none"/>
        <c:minorTickMark val="none"/>
        <c:tickLblPos val="nextTo"/>
        <c:crossAx val="1024938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[customer_satisfaction_analysis_.xlsm]Analysis#4!PivotTable22</c:name>
    <c:fmtId val="5"/>
  </c:pivotSource>
  <c:chart>
    <c:autoTitleDeleted val="1"/>
    <c:pivotFmts>
      <c:pivotFmt>
        <c:idx val="0"/>
        <c:spPr>
          <a:solidFill>
            <a:srgbClr val="CAD2C5"/>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2A3E68"/>
          </a:solidFill>
          <a:ln>
            <a:noFill/>
          </a:ln>
          <a:effectLst/>
        </c:spPr>
      </c:pivotFmt>
      <c:pivotFmt>
        <c:idx val="3"/>
        <c:spPr>
          <a:solidFill>
            <a:srgbClr val="2A3E68"/>
          </a:solidFill>
          <a:ln>
            <a:noFill/>
          </a:ln>
          <a:effectLst/>
        </c:spPr>
      </c:pivotFmt>
      <c:pivotFmt>
        <c:idx val="4"/>
        <c:spPr>
          <a:solidFill>
            <a:srgbClr val="CAD2C5"/>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2A3E68"/>
          </a:solidFill>
          <a:ln>
            <a:noFill/>
          </a:ln>
          <a:effectLst/>
        </c:spPr>
      </c:pivotFmt>
      <c:pivotFmt>
        <c:idx val="6"/>
        <c:spPr>
          <a:solidFill>
            <a:srgbClr val="2A3E68"/>
          </a:solidFill>
          <a:ln>
            <a:noFill/>
          </a:ln>
          <a:effectLst/>
        </c:spPr>
      </c:pivotFmt>
      <c:pivotFmt>
        <c:idx val="7"/>
        <c:spPr>
          <a:solidFill>
            <a:schemeClr val="accent1"/>
          </a:solidFill>
          <a:ln w="28575" cap="rnd">
            <a:solidFill>
              <a:schemeClr val="accent1">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CAD2C5"/>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2A3E68"/>
          </a:solidFill>
          <a:ln>
            <a:noFill/>
          </a:ln>
          <a:effectLst/>
        </c:spPr>
      </c:pivotFmt>
      <c:pivotFmt>
        <c:idx val="10"/>
        <c:spPr>
          <a:solidFill>
            <a:srgbClr val="2A3E68"/>
          </a:solidFill>
          <a:ln>
            <a:noFill/>
          </a:ln>
          <a:effectLst/>
        </c:spPr>
      </c:pivotFmt>
      <c:pivotFmt>
        <c:idx val="11"/>
        <c:spPr>
          <a:solidFill>
            <a:schemeClr val="accent1"/>
          </a:solidFill>
          <a:ln w="28575" cap="rnd">
            <a:solidFill>
              <a:schemeClr val="accent1">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28575" cap="rnd">
            <a:solidFill>
              <a:schemeClr val="accent1">
                <a:lumMod val="60000"/>
                <a:lumOff val="40000"/>
              </a:schemeClr>
            </a:solidFill>
            <a:round/>
          </a:ln>
          <a:effectLst/>
        </c:spPr>
      </c:pivotFmt>
      <c:pivotFmt>
        <c:idx val="13"/>
        <c:spPr>
          <a:solidFill>
            <a:schemeClr val="accent1"/>
          </a:solidFill>
          <a:ln w="28575" cap="rnd">
            <a:solidFill>
              <a:schemeClr val="accent1">
                <a:lumMod val="60000"/>
                <a:lumOff val="40000"/>
              </a:schemeClr>
            </a:solidFill>
            <a:round/>
          </a:ln>
          <a:effectLst/>
        </c:spPr>
      </c:pivotFmt>
      <c:pivotFmt>
        <c:idx val="14"/>
        <c:spPr>
          <a:solidFill>
            <a:srgbClr val="CAD2C5"/>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2A3E68"/>
          </a:solidFill>
          <a:ln>
            <a:noFill/>
          </a:ln>
          <a:effectLst/>
        </c:spPr>
      </c:pivotFmt>
      <c:pivotFmt>
        <c:idx val="16"/>
        <c:spPr>
          <a:solidFill>
            <a:srgbClr val="2A3E68"/>
          </a:solidFill>
          <a:ln>
            <a:noFill/>
          </a:ln>
          <a:effectLst/>
        </c:spPr>
      </c:pivotFmt>
      <c:pivotFmt>
        <c:idx val="17"/>
        <c:spPr>
          <a:solidFill>
            <a:schemeClr val="accent1"/>
          </a:solidFill>
          <a:ln w="28575" cap="rnd">
            <a:solidFill>
              <a:schemeClr val="accent1">
                <a:lumMod val="60000"/>
                <a:lumOff val="4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rgbClr val="84A9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84A98C"/>
          </a:solidFill>
          <a:ln>
            <a:noFill/>
          </a:ln>
          <a:effectLst/>
        </c:spPr>
      </c:pivotFmt>
      <c:pivotFmt>
        <c:idx val="20"/>
        <c:spPr>
          <a:solidFill>
            <a:srgbClr val="84A98C"/>
          </a:solidFill>
          <a:ln>
            <a:noFill/>
          </a:ln>
          <a:effectLst/>
        </c:spPr>
      </c:pivotFmt>
      <c:pivotFmt>
        <c:idx val="21"/>
        <c:spPr>
          <a:ln w="28575" cap="rnd">
            <a:solidFill>
              <a:srgbClr val="2F3E4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'Analysis#4'!$B$1</c:f>
              <c:strCache>
                <c:ptCount val="1"/>
                <c:pt idx="0">
                  <c:v>Sum of calls_handled</c:v>
                </c:pt>
              </c:strCache>
            </c:strRef>
          </c:tx>
          <c:spPr>
            <a:solidFill>
              <a:srgbClr val="84A98C"/>
            </a:solidFill>
            <a:ln>
              <a:noFill/>
            </a:ln>
            <a:effectLst/>
          </c:spPr>
          <c:invertIfNegative val="0"/>
          <c:dPt>
            <c:idx val="5"/>
            <c:invertIfNegative val="0"/>
            <c:bubble3D val="0"/>
            <c:spPr>
              <a:solidFill>
                <a:srgbClr val="84A98C"/>
              </a:solidFill>
              <a:ln>
                <a:noFill/>
              </a:ln>
              <a:effectLst/>
            </c:spPr>
            <c:extLst>
              <c:ext xmlns:c16="http://schemas.microsoft.com/office/drawing/2014/chart" uri="{C3380CC4-5D6E-409C-BE32-E72D297353CC}">
                <c16:uniqueId val="{00000001-E222-455D-BB82-3E39E338CDBF}"/>
              </c:ext>
            </c:extLst>
          </c:dPt>
          <c:dPt>
            <c:idx val="6"/>
            <c:invertIfNegative val="0"/>
            <c:bubble3D val="0"/>
            <c:spPr>
              <a:solidFill>
                <a:srgbClr val="84A98C"/>
              </a:solidFill>
              <a:ln>
                <a:noFill/>
              </a:ln>
              <a:effectLst/>
            </c:spPr>
            <c:extLst>
              <c:ext xmlns:c16="http://schemas.microsoft.com/office/drawing/2014/chart" uri="{C3380CC4-5D6E-409C-BE32-E72D297353CC}">
                <c16:uniqueId val="{00000003-E222-455D-BB82-3E39E338CDBF}"/>
              </c:ext>
            </c:extLst>
          </c:dPt>
          <c:cat>
            <c:strRef>
              <c:f>'Analysis#4'!$A$2:$A$9</c:f>
              <c:strCache>
                <c:ptCount val="7"/>
                <c:pt idx="0">
                  <c:v>Sun</c:v>
                </c:pt>
                <c:pt idx="1">
                  <c:v>Mon</c:v>
                </c:pt>
                <c:pt idx="2">
                  <c:v>Tue</c:v>
                </c:pt>
                <c:pt idx="3">
                  <c:v>Wed</c:v>
                </c:pt>
                <c:pt idx="4">
                  <c:v>Thu</c:v>
                </c:pt>
                <c:pt idx="5">
                  <c:v>Fri</c:v>
                </c:pt>
                <c:pt idx="6">
                  <c:v>Sat</c:v>
                </c:pt>
              </c:strCache>
            </c:strRef>
          </c:cat>
          <c:val>
            <c:numRef>
              <c:f>'Analysis#4'!$B$2:$B$9</c:f>
              <c:numCache>
                <c:formatCode>General</c:formatCode>
                <c:ptCount val="7"/>
                <c:pt idx="0">
                  <c:v>733</c:v>
                </c:pt>
                <c:pt idx="1">
                  <c:v>561</c:v>
                </c:pt>
                <c:pt idx="2">
                  <c:v>700</c:v>
                </c:pt>
                <c:pt idx="3">
                  <c:v>755</c:v>
                </c:pt>
                <c:pt idx="4">
                  <c:v>785</c:v>
                </c:pt>
                <c:pt idx="5">
                  <c:v>1008</c:v>
                </c:pt>
                <c:pt idx="6">
                  <c:v>1031</c:v>
                </c:pt>
              </c:numCache>
            </c:numRef>
          </c:val>
          <c:extLst>
            <c:ext xmlns:c16="http://schemas.microsoft.com/office/drawing/2014/chart" uri="{C3380CC4-5D6E-409C-BE32-E72D297353CC}">
              <c16:uniqueId val="{00000004-E222-455D-BB82-3E39E338CDBF}"/>
            </c:ext>
          </c:extLst>
        </c:ser>
        <c:dLbls>
          <c:showLegendKey val="0"/>
          <c:showVal val="0"/>
          <c:showCatName val="0"/>
          <c:showSerName val="0"/>
          <c:showPercent val="0"/>
          <c:showBubbleSize val="0"/>
        </c:dLbls>
        <c:gapWidth val="30"/>
        <c:overlap val="-27"/>
        <c:axId val="1673601616"/>
        <c:axId val="1673602576"/>
      </c:barChart>
      <c:lineChart>
        <c:grouping val="standard"/>
        <c:varyColors val="0"/>
        <c:ser>
          <c:idx val="1"/>
          <c:order val="1"/>
          <c:tx>
            <c:strRef>
              <c:f>'Analysis#4'!$C$1</c:f>
              <c:strCache>
                <c:ptCount val="1"/>
                <c:pt idx="0">
                  <c:v>Average of avg_queue_time</c:v>
                </c:pt>
              </c:strCache>
            </c:strRef>
          </c:tx>
          <c:spPr>
            <a:ln w="28575" cap="rnd">
              <a:solidFill>
                <a:srgbClr val="2F3E46"/>
              </a:solidFill>
              <a:round/>
            </a:ln>
            <a:effectLst/>
          </c:spPr>
          <c:marker>
            <c:symbol val="none"/>
          </c:marker>
          <c:cat>
            <c:strRef>
              <c:f>'Analysis#4'!$A$2:$A$9</c:f>
              <c:strCache>
                <c:ptCount val="7"/>
                <c:pt idx="0">
                  <c:v>Sun</c:v>
                </c:pt>
                <c:pt idx="1">
                  <c:v>Mon</c:v>
                </c:pt>
                <c:pt idx="2">
                  <c:v>Tue</c:v>
                </c:pt>
                <c:pt idx="3">
                  <c:v>Wed</c:v>
                </c:pt>
                <c:pt idx="4">
                  <c:v>Thu</c:v>
                </c:pt>
                <c:pt idx="5">
                  <c:v>Fri</c:v>
                </c:pt>
                <c:pt idx="6">
                  <c:v>Sat</c:v>
                </c:pt>
              </c:strCache>
            </c:strRef>
          </c:cat>
          <c:val>
            <c:numRef>
              <c:f>'Analysis#4'!$C$2:$C$9</c:f>
              <c:numCache>
                <c:formatCode>0.0</c:formatCode>
                <c:ptCount val="7"/>
                <c:pt idx="0">
                  <c:v>44.222222222222221</c:v>
                </c:pt>
                <c:pt idx="1">
                  <c:v>47.357142857142854</c:v>
                </c:pt>
                <c:pt idx="2">
                  <c:v>48.114285714285714</c:v>
                </c:pt>
                <c:pt idx="3">
                  <c:v>41.027027027027025</c:v>
                </c:pt>
                <c:pt idx="4">
                  <c:v>45.763157894736842</c:v>
                </c:pt>
                <c:pt idx="5">
                  <c:v>60.736842105263158</c:v>
                </c:pt>
                <c:pt idx="6">
                  <c:v>66.179487179487182</c:v>
                </c:pt>
              </c:numCache>
            </c:numRef>
          </c:val>
          <c:smooth val="0"/>
          <c:extLst>
            <c:ext xmlns:c16="http://schemas.microsoft.com/office/drawing/2014/chart" uri="{C3380CC4-5D6E-409C-BE32-E72D297353CC}">
              <c16:uniqueId val="{00000005-E222-455D-BB82-3E39E338CDBF}"/>
            </c:ext>
          </c:extLst>
        </c:ser>
        <c:dLbls>
          <c:showLegendKey val="0"/>
          <c:showVal val="0"/>
          <c:showCatName val="0"/>
          <c:showSerName val="0"/>
          <c:showPercent val="0"/>
          <c:showBubbleSize val="0"/>
        </c:dLbls>
        <c:marker val="1"/>
        <c:smooth val="0"/>
        <c:axId val="1693202672"/>
        <c:axId val="1693203632"/>
      </c:lineChart>
      <c:catAx>
        <c:axId val="167360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602576"/>
        <c:crosses val="autoZero"/>
        <c:auto val="1"/>
        <c:lblAlgn val="ctr"/>
        <c:lblOffset val="100"/>
        <c:noMultiLvlLbl val="0"/>
      </c:catAx>
      <c:valAx>
        <c:axId val="1673602576"/>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601616"/>
        <c:crosses val="autoZero"/>
        <c:crossBetween val="between"/>
      </c:valAx>
      <c:valAx>
        <c:axId val="1693203632"/>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202672"/>
        <c:crosses val="max"/>
        <c:crossBetween val="between"/>
      </c:valAx>
      <c:catAx>
        <c:axId val="1693202672"/>
        <c:scaling>
          <c:orientation val="minMax"/>
        </c:scaling>
        <c:delete val="1"/>
        <c:axPos val="b"/>
        <c:numFmt formatCode="General" sourceLinked="1"/>
        <c:majorTickMark val="out"/>
        <c:minorTickMark val="none"/>
        <c:tickLblPos val="nextTo"/>
        <c:crossAx val="1693203632"/>
        <c:crosses val="autoZero"/>
        <c:auto val="1"/>
        <c:lblAlgn val="ctr"/>
        <c:lblOffset val="100"/>
        <c:noMultiLvlLbl val="0"/>
      </c:catAx>
      <c:spPr>
        <a:noFill/>
        <a:ln>
          <a:noFill/>
        </a:ln>
        <a:effectLst/>
      </c:spPr>
    </c:plotArea>
    <c:legend>
      <c:legendPos val="r"/>
      <c:layout>
        <c:manualLayout>
          <c:xMode val="edge"/>
          <c:yMode val="edge"/>
          <c:x val="0.70206070723923575"/>
          <c:y val="0.44718395658081739"/>
          <c:w val="0.28507401250532255"/>
          <c:h val="0.152028145005371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[customer_satisfaction_analysis_.xlsm]Analysis#5!PivotTable34</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C00000"/>
            </a:solidFill>
            <a:round/>
          </a:ln>
          <a:effectLst/>
        </c:spPr>
        <c:marker>
          <c:symbol val="none"/>
        </c:marker>
      </c:pivotFmt>
      <c:pivotFmt>
        <c:idx val="3"/>
        <c:spPr>
          <a:solidFill>
            <a:schemeClr val="accent1"/>
          </a:solidFill>
          <a:ln w="28575" cap="rnd">
            <a:solidFill>
              <a:srgbClr val="C00000"/>
            </a:solidFill>
            <a:round/>
          </a:ln>
          <a:effectLst/>
        </c:spPr>
        <c:marker>
          <c:symbol val="none"/>
        </c:marker>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C00000"/>
            </a:solidFill>
            <a:round/>
          </a:ln>
          <a:effectLst/>
        </c:spPr>
        <c:marker>
          <c:symbol val="none"/>
        </c:marker>
      </c:pivotFmt>
      <c:pivotFmt>
        <c:idx val="7"/>
        <c:spPr>
          <a:solidFill>
            <a:schemeClr val="accent1"/>
          </a:solidFill>
          <a:ln w="28575" cap="rnd">
            <a:solidFill>
              <a:srgbClr val="C00000"/>
            </a:solidFill>
            <a:round/>
          </a:ln>
          <a:effectLst/>
        </c:spPr>
        <c:marker>
          <c:symbol val="none"/>
        </c:marker>
      </c:pivotFmt>
      <c:pivotFmt>
        <c:idx val="8"/>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none"/>
        </c:marker>
      </c:pivotFmt>
      <c:pivotFmt>
        <c:idx val="11"/>
        <c:spPr>
          <a:ln w="28575" cap="rnd">
            <a:solidFill>
              <a:srgbClr val="C00000"/>
            </a:solidFill>
            <a:round/>
          </a:ln>
          <a:effectLst/>
        </c:spPr>
        <c:marker>
          <c:symbol val="none"/>
        </c:marker>
      </c:pivotFmt>
    </c:pivotFmts>
    <c:plotArea>
      <c:layout>
        <c:manualLayout>
          <c:layoutTarget val="inner"/>
          <c:xMode val="edge"/>
          <c:yMode val="edge"/>
          <c:x val="2.0534723356376284E-2"/>
          <c:y val="0.1807909604519774"/>
          <c:w val="0.66910823624448712"/>
          <c:h val="0.80564971751412429"/>
        </c:manualLayout>
      </c:layout>
      <c:barChart>
        <c:barDir val="col"/>
        <c:grouping val="clustered"/>
        <c:varyColors val="0"/>
        <c:ser>
          <c:idx val="0"/>
          <c:order val="0"/>
          <c:tx>
            <c:strRef>
              <c:f>'Analysis#5'!$B$23</c:f>
              <c:strCache>
                <c:ptCount val="1"/>
                <c:pt idx="0">
                  <c:v>Sum of calls_handled</c:v>
                </c:pt>
              </c:strCache>
            </c:strRef>
          </c:tx>
          <c:spPr>
            <a:noFill/>
            <a:ln>
              <a:noFill/>
            </a:ln>
            <a:effectLst/>
          </c:spPr>
          <c:invertIfNegative val="0"/>
          <c:cat>
            <c:strRef>
              <c:f>'Analysis#5'!$A$24:$A$31</c:f>
              <c:strCache>
                <c:ptCount val="7"/>
                <c:pt idx="0">
                  <c:v>Sun</c:v>
                </c:pt>
                <c:pt idx="1">
                  <c:v>Mon</c:v>
                </c:pt>
                <c:pt idx="2">
                  <c:v>Tue</c:v>
                </c:pt>
                <c:pt idx="3">
                  <c:v>Wed</c:v>
                </c:pt>
                <c:pt idx="4">
                  <c:v>Thu</c:v>
                </c:pt>
                <c:pt idx="5">
                  <c:v>Fri</c:v>
                </c:pt>
                <c:pt idx="6">
                  <c:v>Sat</c:v>
                </c:pt>
              </c:strCache>
            </c:strRef>
          </c:cat>
          <c:val>
            <c:numRef>
              <c:f>'Analysis#5'!$B$24:$B$31</c:f>
              <c:numCache>
                <c:formatCode>General</c:formatCode>
                <c:ptCount val="7"/>
                <c:pt idx="0">
                  <c:v>733</c:v>
                </c:pt>
                <c:pt idx="1">
                  <c:v>561</c:v>
                </c:pt>
                <c:pt idx="2">
                  <c:v>700</c:v>
                </c:pt>
                <c:pt idx="3">
                  <c:v>755</c:v>
                </c:pt>
                <c:pt idx="4">
                  <c:v>785</c:v>
                </c:pt>
                <c:pt idx="5">
                  <c:v>1008</c:v>
                </c:pt>
                <c:pt idx="6">
                  <c:v>1031</c:v>
                </c:pt>
              </c:numCache>
            </c:numRef>
          </c:val>
          <c:extLst>
            <c:ext xmlns:c16="http://schemas.microsoft.com/office/drawing/2014/chart" uri="{C3380CC4-5D6E-409C-BE32-E72D297353CC}">
              <c16:uniqueId val="{00000000-FA1B-4591-A4FD-27C897C2A55E}"/>
            </c:ext>
          </c:extLst>
        </c:ser>
        <c:dLbls>
          <c:showLegendKey val="0"/>
          <c:showVal val="0"/>
          <c:showCatName val="0"/>
          <c:showSerName val="0"/>
          <c:showPercent val="0"/>
          <c:showBubbleSize val="0"/>
        </c:dLbls>
        <c:gapWidth val="219"/>
        <c:overlap val="-27"/>
        <c:axId val="1697412416"/>
        <c:axId val="1697410016"/>
      </c:barChart>
      <c:lineChart>
        <c:grouping val="standard"/>
        <c:varyColors val="0"/>
        <c:ser>
          <c:idx val="1"/>
          <c:order val="1"/>
          <c:tx>
            <c:strRef>
              <c:f>'Analysis#5'!$C$23</c:f>
              <c:strCache>
                <c:ptCount val="1"/>
                <c:pt idx="0">
                  <c:v>Average of Customer Rating</c:v>
                </c:pt>
              </c:strCache>
            </c:strRef>
          </c:tx>
          <c:spPr>
            <a:ln w="28575" cap="rnd">
              <a:solidFill>
                <a:srgbClr val="C00000"/>
              </a:solidFill>
              <a:round/>
            </a:ln>
            <a:effectLst/>
          </c:spPr>
          <c:marker>
            <c:symbol val="none"/>
          </c:marker>
          <c:dPt>
            <c:idx val="5"/>
            <c:marker>
              <c:symbol val="none"/>
            </c:marker>
            <c:bubble3D val="0"/>
            <c:spPr>
              <a:ln w="28575" cap="rnd">
                <a:solidFill>
                  <a:srgbClr val="C00000"/>
                </a:solidFill>
                <a:round/>
              </a:ln>
              <a:effectLst/>
            </c:spPr>
            <c:extLst>
              <c:ext xmlns:c16="http://schemas.microsoft.com/office/drawing/2014/chart" uri="{C3380CC4-5D6E-409C-BE32-E72D297353CC}">
                <c16:uniqueId val="{00000002-FA1B-4591-A4FD-27C897C2A55E}"/>
              </c:ext>
            </c:extLst>
          </c:dPt>
          <c:dPt>
            <c:idx val="6"/>
            <c:marker>
              <c:symbol val="none"/>
            </c:marker>
            <c:bubble3D val="0"/>
            <c:spPr>
              <a:ln w="28575" cap="rnd">
                <a:solidFill>
                  <a:srgbClr val="C00000"/>
                </a:solidFill>
                <a:round/>
              </a:ln>
              <a:effectLst/>
            </c:spPr>
            <c:extLst>
              <c:ext xmlns:c16="http://schemas.microsoft.com/office/drawing/2014/chart" uri="{C3380CC4-5D6E-409C-BE32-E72D297353CC}">
                <c16:uniqueId val="{00000004-FA1B-4591-A4FD-27C897C2A55E}"/>
              </c:ext>
            </c:extLst>
          </c:dPt>
          <c:cat>
            <c:strRef>
              <c:f>'Analysis#5'!$A$24:$A$31</c:f>
              <c:strCache>
                <c:ptCount val="7"/>
                <c:pt idx="0">
                  <c:v>Sun</c:v>
                </c:pt>
                <c:pt idx="1">
                  <c:v>Mon</c:v>
                </c:pt>
                <c:pt idx="2">
                  <c:v>Tue</c:v>
                </c:pt>
                <c:pt idx="3">
                  <c:v>Wed</c:v>
                </c:pt>
                <c:pt idx="4">
                  <c:v>Thu</c:v>
                </c:pt>
                <c:pt idx="5">
                  <c:v>Fri</c:v>
                </c:pt>
                <c:pt idx="6">
                  <c:v>Sat</c:v>
                </c:pt>
              </c:strCache>
            </c:strRef>
          </c:cat>
          <c:val>
            <c:numRef>
              <c:f>'Analysis#5'!$C$24:$C$31</c:f>
              <c:numCache>
                <c:formatCode>0.0</c:formatCode>
                <c:ptCount val="7"/>
                <c:pt idx="0">
                  <c:v>7.9722222222222223</c:v>
                </c:pt>
                <c:pt idx="1">
                  <c:v>7.75</c:v>
                </c:pt>
                <c:pt idx="2">
                  <c:v>7.7714285714285714</c:v>
                </c:pt>
                <c:pt idx="3">
                  <c:v>8.2162162162162158</c:v>
                </c:pt>
                <c:pt idx="4">
                  <c:v>7.9473684210526319</c:v>
                </c:pt>
                <c:pt idx="5">
                  <c:v>6.7894736842105265</c:v>
                </c:pt>
                <c:pt idx="6">
                  <c:v>6.384615384615385</c:v>
                </c:pt>
              </c:numCache>
            </c:numRef>
          </c:val>
          <c:smooth val="0"/>
          <c:extLst>
            <c:ext xmlns:c16="http://schemas.microsoft.com/office/drawing/2014/chart" uri="{C3380CC4-5D6E-409C-BE32-E72D297353CC}">
              <c16:uniqueId val="{00000005-FA1B-4591-A4FD-27C897C2A55E}"/>
            </c:ext>
          </c:extLst>
        </c:ser>
        <c:dLbls>
          <c:showLegendKey val="0"/>
          <c:showVal val="0"/>
          <c:showCatName val="0"/>
          <c:showSerName val="0"/>
          <c:showPercent val="0"/>
          <c:showBubbleSize val="0"/>
        </c:dLbls>
        <c:marker val="1"/>
        <c:smooth val="0"/>
        <c:axId val="1704485584"/>
        <c:axId val="1697411936"/>
      </c:lineChart>
      <c:catAx>
        <c:axId val="1697412416"/>
        <c:scaling>
          <c:orientation val="minMax"/>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410016"/>
        <c:crosses val="autoZero"/>
        <c:auto val="1"/>
        <c:lblAlgn val="ctr"/>
        <c:lblOffset val="100"/>
        <c:noMultiLvlLbl val="0"/>
      </c:catAx>
      <c:valAx>
        <c:axId val="1697410016"/>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412416"/>
        <c:crosses val="autoZero"/>
        <c:crossBetween val="between"/>
      </c:valAx>
      <c:valAx>
        <c:axId val="1697411936"/>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85584"/>
        <c:crosses val="max"/>
        <c:crossBetween val="between"/>
      </c:valAx>
      <c:catAx>
        <c:axId val="1704485584"/>
        <c:scaling>
          <c:orientation val="minMax"/>
        </c:scaling>
        <c:delete val="1"/>
        <c:axPos val="b"/>
        <c:numFmt formatCode="General" sourceLinked="1"/>
        <c:majorTickMark val="out"/>
        <c:minorTickMark val="none"/>
        <c:tickLblPos val="nextTo"/>
        <c:crossAx val="1697411936"/>
        <c:crosses val="autoZero"/>
        <c:auto val="1"/>
        <c:lblAlgn val="ctr"/>
        <c:lblOffset val="100"/>
        <c:noMultiLvlLbl val="0"/>
      </c:catAx>
      <c:spPr>
        <a:noFill/>
        <a:ln>
          <a:noFill/>
        </a:ln>
        <a:effectLst/>
      </c:spPr>
    </c:plotArea>
    <c:legend>
      <c:legendPos val="r"/>
      <c:legendEntry>
        <c:idx val="0"/>
        <c:delete val="1"/>
      </c:legendEntry>
      <c:layout>
        <c:manualLayout>
          <c:xMode val="edge"/>
          <c:yMode val="edge"/>
          <c:x val="0.71056971543914449"/>
          <c:y val="0.58252473248536241"/>
          <c:w val="0.28505907075910947"/>
          <c:h val="0.164242996898115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[customer_satisfaction_analysis_.xlsm]Charts!PivotTable13</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tx1">
                    <a:lumMod val="65000"/>
                    <a:lumOff val="35000"/>
                  </a:schemeClr>
                </a:solidFill>
              </a:rPr>
              <a:t>Call</a:t>
            </a:r>
            <a:r>
              <a:rPr lang="en-US" b="1" baseline="0">
                <a:solidFill>
                  <a:schemeClr val="tx1">
                    <a:lumMod val="65000"/>
                    <a:lumOff val="35000"/>
                  </a:schemeClr>
                </a:solidFill>
              </a:rPr>
              <a:t> Volume vs Queue Time</a:t>
            </a:r>
            <a:endParaRPr lang="en-US" b="1">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84A98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52796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749518810148732"/>
          <c:y val="0.38024529543654556"/>
          <c:w val="0.21084186351706036"/>
          <c:h val="0.53764710475531807"/>
        </c:manualLayout>
      </c:layout>
      <c:radarChart>
        <c:radarStyle val="marker"/>
        <c:varyColors val="0"/>
        <c:ser>
          <c:idx val="0"/>
          <c:order val="0"/>
          <c:tx>
            <c:strRef>
              <c:f>Charts!$C$35</c:f>
              <c:strCache>
                <c:ptCount val="1"/>
                <c:pt idx="0">
                  <c:v>Average of calls_handled</c:v>
                </c:pt>
              </c:strCache>
            </c:strRef>
          </c:tx>
          <c:spPr>
            <a:ln w="28575" cap="rnd">
              <a:solidFill>
                <a:srgbClr val="84A98C"/>
              </a:solidFill>
              <a:round/>
            </a:ln>
            <a:effectLst/>
          </c:spPr>
          <c:marker>
            <c:symbol val="none"/>
          </c:marker>
          <c:cat>
            <c:strRef>
              <c:f>Charts!$B$36:$B$39</c:f>
              <c:strCache>
                <c:ptCount val="3"/>
                <c:pt idx="0">
                  <c:v>Car Loan</c:v>
                </c:pt>
                <c:pt idx="1">
                  <c:v>Personal Loan</c:v>
                </c:pt>
                <c:pt idx="2">
                  <c:v>Property Loan</c:v>
                </c:pt>
              </c:strCache>
            </c:strRef>
          </c:cat>
          <c:val>
            <c:numRef>
              <c:f>Charts!$C$36:$C$39</c:f>
              <c:numCache>
                <c:formatCode>0.00</c:formatCode>
                <c:ptCount val="3"/>
                <c:pt idx="0">
                  <c:v>22.392857142857142</c:v>
                </c:pt>
                <c:pt idx="1">
                  <c:v>20.638554216867469</c:v>
                </c:pt>
                <c:pt idx="2">
                  <c:v>23.55952380952381</c:v>
                </c:pt>
              </c:numCache>
            </c:numRef>
          </c:val>
          <c:extLst>
            <c:ext xmlns:c16="http://schemas.microsoft.com/office/drawing/2014/chart" uri="{C3380CC4-5D6E-409C-BE32-E72D297353CC}">
              <c16:uniqueId val="{00000000-F0A7-4E56-9E5C-C64037A5888F}"/>
            </c:ext>
          </c:extLst>
        </c:ser>
        <c:ser>
          <c:idx val="1"/>
          <c:order val="1"/>
          <c:tx>
            <c:strRef>
              <c:f>Charts!$D$35</c:f>
              <c:strCache>
                <c:ptCount val="1"/>
                <c:pt idx="0">
                  <c:v>Average of avg_queue_time</c:v>
                </c:pt>
              </c:strCache>
            </c:strRef>
          </c:tx>
          <c:spPr>
            <a:ln w="28575" cap="rnd">
              <a:solidFill>
                <a:srgbClr val="52796F"/>
              </a:solidFill>
              <a:round/>
            </a:ln>
            <a:effectLst/>
          </c:spPr>
          <c:marker>
            <c:symbol val="none"/>
          </c:marker>
          <c:cat>
            <c:strRef>
              <c:f>Charts!$B$36:$B$39</c:f>
              <c:strCache>
                <c:ptCount val="3"/>
                <c:pt idx="0">
                  <c:v>Car Loan</c:v>
                </c:pt>
                <c:pt idx="1">
                  <c:v>Personal Loan</c:v>
                </c:pt>
                <c:pt idx="2">
                  <c:v>Property Loan</c:v>
                </c:pt>
              </c:strCache>
            </c:strRef>
          </c:cat>
          <c:val>
            <c:numRef>
              <c:f>Charts!$D$36:$D$39</c:f>
              <c:numCache>
                <c:formatCode>0.00</c:formatCode>
                <c:ptCount val="3"/>
                <c:pt idx="0">
                  <c:v>49.476190476190474</c:v>
                </c:pt>
                <c:pt idx="1">
                  <c:v>49.53012048192771</c:v>
                </c:pt>
                <c:pt idx="2">
                  <c:v>53.345238095238095</c:v>
                </c:pt>
              </c:numCache>
            </c:numRef>
          </c:val>
          <c:extLst>
            <c:ext xmlns:c16="http://schemas.microsoft.com/office/drawing/2014/chart" uri="{C3380CC4-5D6E-409C-BE32-E72D297353CC}">
              <c16:uniqueId val="{00000001-F0A7-4E56-9E5C-C64037A5888F}"/>
            </c:ext>
          </c:extLst>
        </c:ser>
        <c:dLbls>
          <c:showLegendKey val="0"/>
          <c:showVal val="0"/>
          <c:showCatName val="0"/>
          <c:showSerName val="0"/>
          <c:showPercent val="0"/>
          <c:showBubbleSize val="0"/>
        </c:dLbls>
        <c:axId val="1738715199"/>
        <c:axId val="1738709439"/>
      </c:radarChart>
      <c:catAx>
        <c:axId val="1738715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8709439"/>
        <c:crosses val="autoZero"/>
        <c:auto val="1"/>
        <c:lblAlgn val="ctr"/>
        <c:lblOffset val="100"/>
        <c:noMultiLvlLbl val="0"/>
      </c:catAx>
      <c:valAx>
        <c:axId val="173870943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738715199"/>
        <c:crosses val="autoZero"/>
        <c:crossBetween val="between"/>
      </c:valAx>
      <c:spPr>
        <a:noFill/>
        <a:ln>
          <a:noFill/>
        </a:ln>
        <a:effectLst/>
      </c:spPr>
    </c:plotArea>
    <c:legend>
      <c:legendPos val="r"/>
      <c:layout>
        <c:manualLayout>
          <c:xMode val="edge"/>
          <c:yMode val="edge"/>
          <c:x val="0.64583223972003501"/>
          <c:y val="0.43125425279150437"/>
          <c:w val="0.33750109361329833"/>
          <c:h val="0.393128604415094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[customer_satisfaction_analysis_.xlsm]Charts!PivotTable14</c:name>
    <c:fmtId val="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tx1">
                    <a:lumMod val="65000"/>
                    <a:lumOff val="35000"/>
                  </a:schemeClr>
                </a:solidFill>
              </a:rPr>
              <a:t>ATH By</a:t>
            </a:r>
            <a:r>
              <a:rPr lang="en-US" b="1" baseline="0">
                <a:solidFill>
                  <a:schemeClr val="tx1">
                    <a:lumMod val="65000"/>
                    <a:lumOff val="35000"/>
                  </a:schemeClr>
                </a:solidFill>
              </a:rPr>
              <a:t> Product</a:t>
            </a:r>
            <a:endParaRPr lang="en-US" b="1">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4A9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4A9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84A9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255468525316776"/>
          <c:y val="0.27103399390336652"/>
          <c:w val="0.70677877214054918"/>
          <c:h val="0.51646608215244028"/>
        </c:manualLayout>
      </c:layout>
      <c:barChart>
        <c:barDir val="bar"/>
        <c:grouping val="clustered"/>
        <c:varyColors val="0"/>
        <c:ser>
          <c:idx val="0"/>
          <c:order val="0"/>
          <c:tx>
            <c:strRef>
              <c:f>Charts!$C$46</c:f>
              <c:strCache>
                <c:ptCount val="1"/>
                <c:pt idx="0">
                  <c:v>Total</c:v>
                </c:pt>
              </c:strCache>
            </c:strRef>
          </c:tx>
          <c:spPr>
            <a:solidFill>
              <a:srgbClr val="84A9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Charts!$B$47:$B$50</c:f>
              <c:strCache>
                <c:ptCount val="3"/>
                <c:pt idx="0">
                  <c:v>Property Loan</c:v>
                </c:pt>
                <c:pt idx="1">
                  <c:v>Car Loan</c:v>
                </c:pt>
                <c:pt idx="2">
                  <c:v>Personal Loan</c:v>
                </c:pt>
              </c:strCache>
            </c:strRef>
          </c:cat>
          <c:val>
            <c:numRef>
              <c:f>Charts!$C$47:$C$50</c:f>
              <c:numCache>
                <c:formatCode>mm:ss</c:formatCode>
                <c:ptCount val="3"/>
                <c:pt idx="0">
                  <c:v>4.1045249118165789E-3</c:v>
                </c:pt>
                <c:pt idx="1">
                  <c:v>5.4727458112874784E-3</c:v>
                </c:pt>
                <c:pt idx="2">
                  <c:v>1.2994896251673356E-2</c:v>
                </c:pt>
              </c:numCache>
            </c:numRef>
          </c:val>
          <c:extLst>
            <c:ext xmlns:c16="http://schemas.microsoft.com/office/drawing/2014/chart" uri="{C3380CC4-5D6E-409C-BE32-E72D297353CC}">
              <c16:uniqueId val="{00000000-AE36-448C-8A9C-9A8DD118271B}"/>
            </c:ext>
          </c:extLst>
        </c:ser>
        <c:dLbls>
          <c:dLblPos val="outEnd"/>
          <c:showLegendKey val="0"/>
          <c:showVal val="1"/>
          <c:showCatName val="0"/>
          <c:showSerName val="0"/>
          <c:showPercent val="0"/>
          <c:showBubbleSize val="0"/>
        </c:dLbls>
        <c:gapWidth val="50"/>
        <c:axId val="1659335743"/>
        <c:axId val="1659344863"/>
      </c:barChart>
      <c:catAx>
        <c:axId val="16593357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9344863"/>
        <c:crosses val="autoZero"/>
        <c:auto val="1"/>
        <c:lblAlgn val="ctr"/>
        <c:lblOffset val="100"/>
        <c:noMultiLvlLbl val="0"/>
      </c:catAx>
      <c:valAx>
        <c:axId val="1659344863"/>
        <c:scaling>
          <c:orientation val="minMax"/>
        </c:scaling>
        <c:delete val="1"/>
        <c:axPos val="b"/>
        <c:numFmt formatCode="mm:ss" sourceLinked="1"/>
        <c:majorTickMark val="none"/>
        <c:minorTickMark val="none"/>
        <c:tickLblPos val="nextTo"/>
        <c:crossAx val="1659335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[customer_satisfaction_analysis_.xlsm]Charts!PivotTable12</c:name>
    <c:fmtId val="1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tx1">
                    <a:lumMod val="65000"/>
                    <a:lumOff val="35000"/>
                  </a:schemeClr>
                </a:solidFill>
              </a:rPr>
              <a:t>Customer</a:t>
            </a:r>
            <a:r>
              <a:rPr lang="en-US" b="1" baseline="0">
                <a:solidFill>
                  <a:schemeClr val="tx1">
                    <a:lumMod val="65000"/>
                    <a:lumOff val="35000"/>
                  </a:schemeClr>
                </a:solidFill>
              </a:rPr>
              <a:t> Ratings</a:t>
            </a:r>
            <a:endParaRPr lang="en-US" b="1">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84A98C"/>
          </a:solidFill>
          <a:ln>
            <a:noFill/>
          </a:ln>
          <a:effectLst/>
        </c:spPr>
      </c:pivotFmt>
      <c:pivotFmt>
        <c:idx val="7"/>
        <c:spPr>
          <a:solidFill>
            <a:srgbClr val="CAD2C5"/>
          </a:solidFill>
          <a:ln>
            <a:noFill/>
          </a:ln>
          <a:effectLst/>
        </c:spPr>
      </c:pivotFmt>
      <c:pivotFmt>
        <c:idx val="8"/>
        <c:spPr>
          <a:solidFill>
            <a:srgbClr val="52796F"/>
          </a:solidFill>
          <a:ln>
            <a:noFill/>
          </a:ln>
          <a:effectLst/>
        </c:spPr>
      </c:pivotFmt>
    </c:pivotFmts>
    <c:plotArea>
      <c:layout>
        <c:manualLayout>
          <c:layoutTarget val="inner"/>
          <c:xMode val="edge"/>
          <c:yMode val="edge"/>
          <c:x val="0.10897702566570604"/>
          <c:y val="0.27615563872203042"/>
          <c:w val="0.46020104040920218"/>
          <c:h val="0.49518454008058249"/>
        </c:manualLayout>
      </c:layout>
      <c:pieChart>
        <c:varyColors val="1"/>
        <c:ser>
          <c:idx val="0"/>
          <c:order val="0"/>
          <c:tx>
            <c:strRef>
              <c:f>Charts!$C$28</c:f>
              <c:strCache>
                <c:ptCount val="1"/>
                <c:pt idx="0">
                  <c:v>Total</c:v>
                </c:pt>
              </c:strCache>
            </c:strRef>
          </c:tx>
          <c:dPt>
            <c:idx val="0"/>
            <c:bubble3D val="0"/>
            <c:spPr>
              <a:solidFill>
                <a:srgbClr val="84A98C"/>
              </a:solidFill>
              <a:ln>
                <a:noFill/>
              </a:ln>
              <a:effectLst/>
            </c:spPr>
            <c:extLst>
              <c:ext xmlns:c16="http://schemas.microsoft.com/office/drawing/2014/chart" uri="{C3380CC4-5D6E-409C-BE32-E72D297353CC}">
                <c16:uniqueId val="{00000001-E9B8-4649-B305-7B3E3DC23842}"/>
              </c:ext>
            </c:extLst>
          </c:dPt>
          <c:dPt>
            <c:idx val="1"/>
            <c:bubble3D val="0"/>
            <c:spPr>
              <a:solidFill>
                <a:srgbClr val="CAD2C5"/>
              </a:solidFill>
              <a:ln>
                <a:noFill/>
              </a:ln>
              <a:effectLst/>
            </c:spPr>
            <c:extLst>
              <c:ext xmlns:c16="http://schemas.microsoft.com/office/drawing/2014/chart" uri="{C3380CC4-5D6E-409C-BE32-E72D297353CC}">
                <c16:uniqueId val="{00000003-E9B8-4649-B305-7B3E3DC23842}"/>
              </c:ext>
            </c:extLst>
          </c:dPt>
          <c:dPt>
            <c:idx val="2"/>
            <c:bubble3D val="0"/>
            <c:spPr>
              <a:solidFill>
                <a:srgbClr val="52796F"/>
              </a:solidFill>
              <a:ln>
                <a:noFill/>
              </a:ln>
              <a:effectLst/>
            </c:spPr>
            <c:extLst>
              <c:ext xmlns:c16="http://schemas.microsoft.com/office/drawing/2014/chart" uri="{C3380CC4-5D6E-409C-BE32-E72D297353CC}">
                <c16:uniqueId val="{00000005-E9B8-4649-B305-7B3E3DC238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Charts!$B$29:$B$32</c:f>
              <c:strCache>
                <c:ptCount val="3"/>
                <c:pt idx="0">
                  <c:v>Property Loan</c:v>
                </c:pt>
                <c:pt idx="1">
                  <c:v>Personal Loan</c:v>
                </c:pt>
                <c:pt idx="2">
                  <c:v>Car Loan</c:v>
                </c:pt>
              </c:strCache>
            </c:strRef>
          </c:cat>
          <c:val>
            <c:numRef>
              <c:f>Charts!$C$29:$C$32</c:f>
              <c:numCache>
                <c:formatCode>0.00</c:formatCode>
                <c:ptCount val="3"/>
                <c:pt idx="0">
                  <c:v>7.4285714285714288</c:v>
                </c:pt>
                <c:pt idx="1">
                  <c:v>7.5542168674698793</c:v>
                </c:pt>
                <c:pt idx="2">
                  <c:v>7.5952380952380949</c:v>
                </c:pt>
              </c:numCache>
            </c:numRef>
          </c:val>
          <c:extLst>
            <c:ext xmlns:c16="http://schemas.microsoft.com/office/drawing/2014/chart" uri="{C3380CC4-5D6E-409C-BE32-E72D297353CC}">
              <c16:uniqueId val="{00000006-E9B8-4649-B305-7B3E3DC23842}"/>
            </c:ext>
          </c:extLst>
        </c:ser>
        <c:dLbls>
          <c:showLegendKey val="0"/>
          <c:showVal val="0"/>
          <c:showCatName val="0"/>
          <c:showSerName val="0"/>
          <c:showPercent val="0"/>
          <c:showBubbleSize val="0"/>
          <c:showLeaderLines val="1"/>
        </c:dLbls>
        <c:firstSliceAng val="18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Tenure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Tenure</a:t>
          </a:r>
        </a:p>
      </cx:txPr>
    </cx:title>
    <cx:plotArea>
      <cx:plotAreaRegion>
        <cx:series layoutId="boxWhisker" uniqueId="{1D3CC2C1-FFD9-446A-A1BD-0681064E4189}">
          <cx:tx>
            <cx:txData>
              <cx:f>_xlchart.v1.8</cx:f>
              <cx:v>tenure</cx:v>
            </cx:txData>
          </cx:tx>
          <cx:dataId val="0"/>
          <cx:layoutPr>
            <cx:visibility meanLine="0" meanMarker="1" nonoutliers="0" outliers="1"/>
            <cx:statistics quartileMethod="exclusive"/>
          </cx:layoutPr>
        </cx:series>
      </cx:plotAreaRegion>
      <cx:axis id="0">
        <cx:catScaling gapWidth="1"/>
        <cx:tickLabels/>
      </cx:axis>
      <cx:axis id="1">
        <cx:valScaling/>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Calls Handled</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Calls Handled</a:t>
          </a:r>
        </a:p>
      </cx:txPr>
    </cx:title>
    <cx:plotArea>
      <cx:plotAreaRegion>
        <cx:series layoutId="boxWhisker" uniqueId="{265F3830-EAF9-425E-AFEE-2413EFFCFBCF}">
          <cx:tx>
            <cx:txData>
              <cx:f>_xlchart.v1.2</cx:f>
              <cx:v>calls_handled</cx:v>
            </cx:txData>
          </cx:tx>
          <cx:dataId val="0"/>
          <cx:layoutPr>
            <cx:visibility meanLine="0" meanMarker="1" nonoutliers="0" outliers="1"/>
            <cx:statistics quartileMethod="exclusive"/>
          </cx:layoutPr>
        </cx:series>
      </cx:plotAreaRegion>
      <cx:axis id="0">
        <cx:catScaling gapWidth="1"/>
        <cx:tickLabels/>
      </cx:axis>
      <cx:axis id="1">
        <cx:valScaling/>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Aht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Aht</a:t>
          </a:r>
        </a:p>
      </cx:txPr>
    </cx:title>
    <cx:plotArea>
      <cx:plotAreaRegion>
        <cx:series layoutId="boxWhisker" uniqueId="{C37FDAEE-AD94-43A7-9E13-DB63E5696FA1}">
          <cx:tx>
            <cx:txData>
              <cx:f>_xlchart.v1.0</cx:f>
              <cx:v>avg_ht</cx:v>
            </cx:txData>
          </cx:tx>
          <cx:dataId val="0"/>
          <cx:layoutPr>
            <cx:visibility meanLine="0" meanMarker="1" nonoutliers="0" outliers="1"/>
            <cx:statistics quartileMethod="exclusive"/>
          </cx:layoutPr>
        </cx:series>
      </cx:plotAreaRegion>
      <cx:axis id="0">
        <cx:catScaling gapWidth="1"/>
        <cx:tickLabels/>
      </cx:axis>
      <cx:axis id="1">
        <cx:valScaling/>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Avg Queue Time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Avg Queue Time</a:t>
          </a:r>
        </a:p>
      </cx:txPr>
    </cx:title>
    <cx:plotArea>
      <cx:plotAreaRegion>
        <cx:series layoutId="boxWhisker" uniqueId="{18939C36-80DA-43F6-9505-8D9801233B66}">
          <cx:tx>
            <cx:txData>
              <cx:f>_xlchart.v1.4</cx:f>
              <cx:v>avg_queue_time</cx:v>
            </cx:txData>
          </cx:tx>
          <cx:dataId val="0"/>
          <cx:layoutPr>
            <cx:visibility meanLine="0" meanMarker="1" nonoutliers="0" outliers="1"/>
            <cx:statistics quartileMethod="exclusive"/>
          </cx:layoutPr>
        </cx:series>
      </cx:plotAreaRegion>
      <cx:axis id="0">
        <cx:catScaling gapWidth="1"/>
        <cx:tickLabels/>
      </cx:axis>
      <cx:axis id="1">
        <cx:valScaling/>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Customer Satisfaction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Customer Satisfaction</a:t>
          </a:r>
        </a:p>
      </cx:txPr>
    </cx:title>
    <cx:plotArea>
      <cx:plotAreaRegion>
        <cx:series layoutId="boxWhisker" uniqueId="{0AC4A6AA-4EAF-44A7-9A66-27228903AA1D}">
          <cx:tx>
            <cx:txData>
              <cx:f>_xlchart.v1.6</cx:f>
              <cx:v>Customer_satisfaction</cx:v>
            </cx:txData>
          </cx:tx>
          <cx:dataId val="0"/>
          <cx:layoutPr>
            <cx:visibility meanLine="0" meanMarker="1" nonoutliers="0" outliers="1"/>
            <cx:statistics quartileMethod="exclusive"/>
          </cx:layoutPr>
        </cx:series>
      </cx:plotAreaRegion>
      <cx:axis id="0">
        <cx:catScaling gapWidth="1"/>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5" Type="http://schemas.microsoft.com/office/2014/relationships/chartEx" Target="../charts/chartEx5.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16.xml"/><Relationship Id="rId11" Type="http://schemas.openxmlformats.org/officeDocument/2006/relationships/image" Target="../media/image6.svg"/><Relationship Id="rId5" Type="http://schemas.openxmlformats.org/officeDocument/2006/relationships/chart" Target="../charts/chart15.xml"/><Relationship Id="rId15" Type="http://schemas.openxmlformats.org/officeDocument/2006/relationships/image" Target="../media/image10.svg"/><Relationship Id="rId10" Type="http://schemas.openxmlformats.org/officeDocument/2006/relationships/image" Target="../media/image5.png"/><Relationship Id="rId4" Type="http://schemas.openxmlformats.org/officeDocument/2006/relationships/chart" Target="../charts/chart14.xml"/><Relationship Id="rId9" Type="http://schemas.openxmlformats.org/officeDocument/2006/relationships/image" Target="../media/image4.sv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0</xdr:col>
      <xdr:colOff>609600</xdr:colOff>
      <xdr:row>1</xdr:row>
      <xdr:rowOff>57150</xdr:rowOff>
    </xdr:from>
    <xdr:ext cx="19566337" cy="389145"/>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9600" y="247650"/>
          <a:ext cx="19566337" cy="3891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en-US" sz="2000">
              <a:solidFill>
                <a:schemeClr val="tx1">
                  <a:lumMod val="100000"/>
                </a:schemeClr>
              </a:solidFill>
              <a:latin typeface="Arial Rounded MT Bold" panose="020F0704030504030204" pitchFamily="34" charset="0"/>
              <a:ea typeface="+mn-ea"/>
              <a:cs typeface="+mn-cs"/>
            </a:rPr>
            <a:t>Call Center Dataset</a:t>
          </a:r>
        </a:p>
      </xdr:txBody>
    </xdr:sp>
    <xdr:clientData/>
  </xdr:oneCellAnchor>
  <mc:AlternateContent xmlns:mc="http://schemas.openxmlformats.org/markup-compatibility/2006">
    <mc:Choice xmlns:a14="http://schemas.microsoft.com/office/drawing/2010/main" Requires="a14">
      <xdr:twoCellAnchor>
        <xdr:from>
          <xdr:col>14</xdr:col>
          <xdr:colOff>0</xdr:colOff>
          <xdr:row>1</xdr:row>
          <xdr:rowOff>142875</xdr:rowOff>
        </xdr:from>
        <xdr:to>
          <xdr:col>14</xdr:col>
          <xdr:colOff>1362075</xdr:colOff>
          <xdr:row>3</xdr:row>
          <xdr:rowOff>123825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Summary 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1133475</xdr:colOff>
          <xdr:row>1</xdr:row>
          <xdr:rowOff>152400</xdr:rowOff>
        </xdr:from>
        <xdr:to>
          <xdr:col>13</xdr:col>
          <xdr:colOff>1066800</xdr:colOff>
          <xdr:row>3</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Box Plot</a:t>
              </a:r>
            </a:p>
          </xdr:txBody>
        </xdr:sp>
        <xdr:clientData fPrintsWithSheet="0"/>
      </xdr:twoCellAnchor>
    </mc:Choice>
    <mc:Fallback/>
  </mc:AlternateContent>
  <xdr:twoCellAnchor>
    <xdr:from>
      <xdr:col>20</xdr:col>
      <xdr:colOff>0</xdr:colOff>
      <xdr:row>10</xdr:row>
      <xdr:rowOff>0</xdr:rowOff>
    </xdr:from>
    <xdr:to>
      <xdr:col>27</xdr:col>
      <xdr:colOff>304800</xdr:colOff>
      <xdr:row>24</xdr:row>
      <xdr:rowOff>76200</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8659475" y="192405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0</xdr:colOff>
      <xdr:row>29</xdr:row>
      <xdr:rowOff>0</xdr:rowOff>
    </xdr:from>
    <xdr:to>
      <xdr:col>27</xdr:col>
      <xdr:colOff>304800</xdr:colOff>
      <xdr:row>43</xdr:row>
      <xdr:rowOff>76200</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8659475" y="55626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0</xdr:colOff>
      <xdr:row>48</xdr:row>
      <xdr:rowOff>0</xdr:rowOff>
    </xdr:from>
    <xdr:to>
      <xdr:col>27</xdr:col>
      <xdr:colOff>304800</xdr:colOff>
      <xdr:row>62</xdr:row>
      <xdr:rowOff>76200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8659475" y="920115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0</xdr:colOff>
      <xdr:row>67</xdr:row>
      <xdr:rowOff>0</xdr:rowOff>
    </xdr:from>
    <xdr:to>
      <xdr:col>27</xdr:col>
      <xdr:colOff>304800</xdr:colOff>
      <xdr:row>81</xdr:row>
      <xdr:rowOff>76200</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8659475" y="128397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0</xdr:colOff>
      <xdr:row>87</xdr:row>
      <xdr:rowOff>0</xdr:rowOff>
    </xdr:from>
    <xdr:to>
      <xdr:col>27</xdr:col>
      <xdr:colOff>304800</xdr:colOff>
      <xdr:row>101</xdr:row>
      <xdr:rowOff>76200</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8659475" y="1666875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0</xdr:col>
      <xdr:colOff>609600</xdr:colOff>
      <xdr:row>1</xdr:row>
      <xdr:rowOff>57150</xdr:rowOff>
    </xdr:from>
    <xdr:ext cx="19566337" cy="389145"/>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09600" y="247650"/>
          <a:ext cx="19566337" cy="3891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en-US" sz="2000">
              <a:solidFill>
                <a:schemeClr val="tx1">
                  <a:lumMod val="100000"/>
                </a:schemeClr>
              </a:solidFill>
              <a:latin typeface="Arial Rounded MT Bold" panose="020F0704030504030204" pitchFamily="34" charset="0"/>
              <a:ea typeface="+mn-ea"/>
              <a:cs typeface="+mn-cs"/>
            </a:rPr>
            <a:t>Reference Sheet</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3</xdr:col>
      <xdr:colOff>600074</xdr:colOff>
      <xdr:row>2</xdr:row>
      <xdr:rowOff>9524</xdr:rowOff>
    </xdr:from>
    <xdr:to>
      <xdr:col>13</xdr:col>
      <xdr:colOff>571499</xdr:colOff>
      <xdr:row>20</xdr:row>
      <xdr:rowOff>85725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104777</xdr:colOff>
      <xdr:row>2</xdr:row>
      <xdr:rowOff>9524</xdr:rowOff>
    </xdr:from>
    <xdr:to>
      <xdr:col>16</xdr:col>
      <xdr:colOff>552451</xdr:colOff>
      <xdr:row>20</xdr:row>
      <xdr:rowOff>95250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1315702" y="390524"/>
          <a:ext cx="1666874" cy="35147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a:solidFill>
                <a:schemeClr val="tx1">
                  <a:lumMod val="65000"/>
                  <a:lumOff val="35000"/>
                </a:schemeClr>
              </a:solidFill>
              <a:effectLst/>
              <a:latin typeface="+mn-lt"/>
              <a:ea typeface="+mn-ea"/>
              <a:cs typeface="+mn-cs"/>
            </a:rPr>
            <a:t>In terms of customer satisfaction ratings, Agent </a:t>
          </a:r>
          <a:r>
            <a:rPr lang="en-US" sz="1000" i="1">
              <a:solidFill>
                <a:schemeClr val="accent6"/>
              </a:solidFill>
              <a:effectLst/>
              <a:latin typeface="+mn-lt"/>
              <a:ea typeface="+mn-ea"/>
              <a:cs typeface="+mn-cs"/>
            </a:rPr>
            <a:t>Eric Molina</a:t>
          </a:r>
          <a:r>
            <a:rPr lang="en-US" sz="1000">
              <a:solidFill>
                <a:schemeClr val="accent6"/>
              </a:solidFill>
              <a:effectLst/>
              <a:latin typeface="+mn-lt"/>
              <a:ea typeface="+mn-ea"/>
              <a:cs typeface="+mn-cs"/>
            </a:rPr>
            <a:t> </a:t>
          </a:r>
          <a:r>
            <a:rPr lang="en-US" sz="1000">
              <a:solidFill>
                <a:schemeClr val="tx1">
                  <a:lumMod val="65000"/>
                  <a:lumOff val="35000"/>
                </a:schemeClr>
              </a:solidFill>
              <a:effectLst/>
              <a:latin typeface="+mn-lt"/>
              <a:ea typeface="+mn-ea"/>
              <a:cs typeface="+mn-cs"/>
            </a:rPr>
            <a:t>has emerged as the top performer, achieving an impressive score of </a:t>
          </a:r>
          <a:r>
            <a:rPr lang="en-US" sz="1000" i="1">
              <a:solidFill>
                <a:schemeClr val="accent6"/>
              </a:solidFill>
              <a:effectLst/>
              <a:latin typeface="+mn-lt"/>
              <a:ea typeface="+mn-ea"/>
              <a:cs typeface="+mn-cs"/>
            </a:rPr>
            <a:t>7.9</a:t>
          </a:r>
          <a:r>
            <a:rPr lang="en-US" sz="1000">
              <a:solidFill>
                <a:schemeClr val="tx1">
                  <a:lumMod val="65000"/>
                  <a:lumOff val="35000"/>
                </a:schemeClr>
              </a:solidFill>
              <a:effectLst/>
              <a:latin typeface="+mn-lt"/>
              <a:ea typeface="+mn-ea"/>
              <a:cs typeface="+mn-cs"/>
            </a:rPr>
            <a:t>. Despite having a tenure of only 13 months, Eric has consistently delivered exceptional service to customers. On the other hand, </a:t>
          </a:r>
          <a:r>
            <a:rPr lang="en-US" sz="1000" i="1">
              <a:solidFill>
                <a:schemeClr val="accent4">
                  <a:lumMod val="75000"/>
                </a:schemeClr>
              </a:solidFill>
              <a:effectLst/>
              <a:latin typeface="+mn-lt"/>
              <a:ea typeface="+mn-ea"/>
              <a:cs typeface="+mn-cs"/>
            </a:rPr>
            <a:t>Cecille Chen</a:t>
          </a:r>
          <a:r>
            <a:rPr lang="en-US" sz="1000">
              <a:solidFill>
                <a:schemeClr val="tx1">
                  <a:lumMod val="65000"/>
                  <a:lumOff val="35000"/>
                </a:schemeClr>
              </a:solidFill>
              <a:effectLst/>
              <a:latin typeface="+mn-lt"/>
              <a:ea typeface="+mn-ea"/>
              <a:cs typeface="+mn-cs"/>
            </a:rPr>
            <a:t>, who has been with the company for 21 months, scored </a:t>
          </a:r>
          <a:r>
            <a:rPr lang="en-US" sz="1000" i="1">
              <a:solidFill>
                <a:schemeClr val="accent4">
                  <a:lumMod val="75000"/>
                </a:schemeClr>
              </a:solidFill>
              <a:effectLst/>
              <a:latin typeface="+mn-lt"/>
              <a:ea typeface="+mn-ea"/>
              <a:cs typeface="+mn-cs"/>
            </a:rPr>
            <a:t>7.1</a:t>
          </a:r>
          <a:r>
            <a:rPr lang="en-US" sz="1000">
              <a:solidFill>
                <a:schemeClr val="tx1">
                  <a:lumMod val="65000"/>
                  <a:lumOff val="35000"/>
                </a:schemeClr>
              </a:solidFill>
              <a:effectLst/>
              <a:latin typeface="+mn-lt"/>
              <a:ea typeface="+mn-ea"/>
              <a:cs typeface="+mn-cs"/>
            </a:rPr>
            <a:t> in customer ratings placing her at the bottom of the performance rankings. This highlights that while longer tenure may be expected to correlate with better performance, it is not always the case.</a:t>
          </a:r>
        </a:p>
        <a:p>
          <a:pPr algn="l"/>
          <a:endParaRPr lang="en-US" sz="900">
            <a:solidFill>
              <a:schemeClr val="tx1">
                <a:lumMod val="65000"/>
                <a:lumOff val="35000"/>
              </a:schemeClr>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1326931</xdr:colOff>
      <xdr:row>1</xdr:row>
      <xdr:rowOff>171451</xdr:rowOff>
    </xdr:from>
    <xdr:to>
      <xdr:col>14</xdr:col>
      <xdr:colOff>28574</xdr:colOff>
      <xdr:row>17</xdr:row>
      <xdr:rowOff>164225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876300</xdr:colOff>
      <xdr:row>1</xdr:row>
      <xdr:rowOff>161925</xdr:rowOff>
    </xdr:from>
    <xdr:to>
      <xdr:col>3</xdr:col>
      <xdr:colOff>1209674</xdr:colOff>
      <xdr:row>17</xdr:row>
      <xdr:rowOff>161925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3867150" y="352425"/>
          <a:ext cx="1666874"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a:solidFill>
                <a:schemeClr val="tx1">
                  <a:lumMod val="65000"/>
                  <a:lumOff val="35000"/>
                </a:schemeClr>
              </a:solidFill>
              <a:effectLst/>
              <a:latin typeface="+mn-lt"/>
              <a:ea typeface="+mn-ea"/>
              <a:cs typeface="+mn-cs"/>
            </a:rPr>
            <a:t>Based on the analysis of call duration, it was found that </a:t>
          </a:r>
          <a:r>
            <a:rPr lang="en-US" sz="1000">
              <a:solidFill>
                <a:srgbClr val="C00000"/>
              </a:solidFill>
              <a:effectLst/>
              <a:latin typeface="+mn-lt"/>
              <a:ea typeface="+mn-ea"/>
              <a:cs typeface="+mn-cs"/>
            </a:rPr>
            <a:t>Personal Loan </a:t>
          </a:r>
          <a:r>
            <a:rPr lang="en-US" sz="1000">
              <a:solidFill>
                <a:schemeClr val="tx1">
                  <a:lumMod val="65000"/>
                  <a:lumOff val="35000"/>
                </a:schemeClr>
              </a:solidFill>
              <a:effectLst/>
              <a:latin typeface="+mn-lt"/>
              <a:ea typeface="+mn-ea"/>
              <a:cs typeface="+mn-cs"/>
            </a:rPr>
            <a:t>has the longest average duration of </a:t>
          </a:r>
          <a:r>
            <a:rPr lang="en-US" sz="1000">
              <a:solidFill>
                <a:srgbClr val="C00000"/>
              </a:solidFill>
              <a:effectLst/>
              <a:latin typeface="+mn-lt"/>
              <a:ea typeface="+mn-ea"/>
              <a:cs typeface="+mn-cs"/>
            </a:rPr>
            <a:t>18 minutes and 43 seconds</a:t>
          </a:r>
          <a:r>
            <a:rPr lang="en-US" sz="1000">
              <a:solidFill>
                <a:schemeClr val="tx1">
                  <a:lumMod val="65000"/>
                  <a:lumOff val="35000"/>
                </a:schemeClr>
              </a:solidFill>
              <a:effectLst/>
              <a:latin typeface="+mn-lt"/>
              <a:ea typeface="+mn-ea"/>
              <a:cs typeface="+mn-cs"/>
            </a:rPr>
            <a:t>, followed by </a:t>
          </a:r>
          <a:r>
            <a:rPr lang="en-US" sz="1000">
              <a:solidFill>
                <a:schemeClr val="accent4">
                  <a:lumMod val="75000"/>
                </a:schemeClr>
              </a:solidFill>
              <a:effectLst/>
              <a:latin typeface="+mn-lt"/>
              <a:ea typeface="+mn-ea"/>
              <a:cs typeface="+mn-cs"/>
            </a:rPr>
            <a:t>Car Loan </a:t>
          </a:r>
          <a:r>
            <a:rPr lang="en-US" sz="1000">
              <a:solidFill>
                <a:schemeClr val="tx1">
                  <a:lumMod val="65000"/>
                  <a:lumOff val="35000"/>
                </a:schemeClr>
              </a:solidFill>
              <a:effectLst/>
              <a:latin typeface="+mn-lt"/>
              <a:ea typeface="+mn-ea"/>
              <a:cs typeface="+mn-cs"/>
            </a:rPr>
            <a:t>with an average duration of </a:t>
          </a:r>
          <a:r>
            <a:rPr lang="en-US" sz="1000">
              <a:solidFill>
                <a:schemeClr val="accent4">
                  <a:lumMod val="75000"/>
                </a:schemeClr>
              </a:solidFill>
              <a:effectLst/>
              <a:latin typeface="+mn-lt"/>
              <a:ea typeface="+mn-ea"/>
              <a:cs typeface="+mn-cs"/>
            </a:rPr>
            <a:t>7 minutes and 53 seconds</a:t>
          </a:r>
          <a:r>
            <a:rPr lang="en-US" sz="1000">
              <a:solidFill>
                <a:schemeClr val="tx1">
                  <a:lumMod val="65000"/>
                  <a:lumOff val="35000"/>
                </a:schemeClr>
              </a:solidFill>
              <a:effectLst/>
              <a:latin typeface="+mn-lt"/>
              <a:ea typeface="+mn-ea"/>
              <a:cs typeface="+mn-cs"/>
            </a:rPr>
            <a:t>. On the other hand, </a:t>
          </a:r>
          <a:r>
            <a:rPr lang="en-US" sz="1000">
              <a:solidFill>
                <a:schemeClr val="accent6"/>
              </a:solidFill>
              <a:effectLst/>
              <a:latin typeface="+mn-lt"/>
              <a:ea typeface="+mn-ea"/>
              <a:cs typeface="+mn-cs"/>
            </a:rPr>
            <a:t>Personal Loan </a:t>
          </a:r>
          <a:r>
            <a:rPr lang="en-US" sz="1000">
              <a:solidFill>
                <a:schemeClr val="tx1">
                  <a:lumMod val="65000"/>
                  <a:lumOff val="35000"/>
                </a:schemeClr>
              </a:solidFill>
              <a:effectLst/>
              <a:latin typeface="+mn-lt"/>
              <a:ea typeface="+mn-ea"/>
              <a:cs typeface="+mn-cs"/>
            </a:rPr>
            <a:t>has the shortest average duration of </a:t>
          </a:r>
          <a:r>
            <a:rPr lang="en-US" sz="1000">
              <a:solidFill>
                <a:schemeClr val="accent6"/>
              </a:solidFill>
              <a:effectLst/>
              <a:latin typeface="+mn-lt"/>
              <a:ea typeface="+mn-ea"/>
              <a:cs typeface="+mn-cs"/>
            </a:rPr>
            <a:t>5 minutes and 55 seconds</a:t>
          </a:r>
          <a:r>
            <a:rPr lang="en-US" sz="1000">
              <a:solidFill>
                <a:schemeClr val="tx1">
                  <a:lumMod val="65000"/>
                  <a:lumOff val="35000"/>
                </a:schemeClr>
              </a:solidFill>
              <a:effectLst/>
              <a:latin typeface="+mn-lt"/>
              <a:ea typeface="+mn-ea"/>
              <a:cs typeface="+mn-cs"/>
            </a:rPr>
            <a:t>. These findings suggest that agents may have insufficient experience or face challenges when handling calls related to Personal Loan.</a:t>
          </a:r>
        </a:p>
        <a:p>
          <a:pPr algn="l"/>
          <a:endParaRPr lang="en-US" sz="900">
            <a:solidFill>
              <a:schemeClr val="tx1">
                <a:lumMod val="65000"/>
                <a:lumOff val="35000"/>
              </a:schemeClr>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571499</xdr:colOff>
      <xdr:row>1</xdr:row>
      <xdr:rowOff>161925</xdr:rowOff>
    </xdr:from>
    <xdr:to>
      <xdr:col>13</xdr:col>
      <xdr:colOff>600074</xdr:colOff>
      <xdr:row>17</xdr:row>
      <xdr:rowOff>47625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133350</xdr:colOff>
      <xdr:row>1</xdr:row>
      <xdr:rowOff>152400</xdr:rowOff>
    </xdr:from>
    <xdr:to>
      <xdr:col>17</xdr:col>
      <xdr:colOff>285750</xdr:colOff>
      <xdr:row>17</xdr:row>
      <xdr:rowOff>57150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9658350" y="342900"/>
          <a:ext cx="1981200" cy="2952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a:solidFill>
                <a:schemeClr val="tx1">
                  <a:lumMod val="65000"/>
                  <a:lumOff val="35000"/>
                </a:schemeClr>
              </a:solidFill>
              <a:effectLst/>
              <a:latin typeface="+mn-lt"/>
              <a:ea typeface="+mn-ea"/>
              <a:cs typeface="+mn-cs"/>
            </a:rPr>
            <a:t>The analysis of weekly call volume reveals that </a:t>
          </a:r>
          <a:r>
            <a:rPr lang="en-US" sz="1000">
              <a:solidFill>
                <a:schemeClr val="accent6"/>
              </a:solidFill>
              <a:effectLst/>
              <a:latin typeface="+mn-lt"/>
              <a:ea typeface="+mn-ea"/>
              <a:cs typeface="+mn-cs"/>
            </a:rPr>
            <a:t>Fridays and Saturdays </a:t>
          </a:r>
          <a:r>
            <a:rPr lang="en-US" sz="1000">
              <a:solidFill>
                <a:schemeClr val="tx1">
                  <a:lumMod val="65000"/>
                  <a:lumOff val="35000"/>
                </a:schemeClr>
              </a:solidFill>
              <a:effectLst/>
              <a:latin typeface="+mn-lt"/>
              <a:ea typeface="+mn-ea"/>
              <a:cs typeface="+mn-cs"/>
            </a:rPr>
            <a:t>exhibit the highest call volumes, with </a:t>
          </a:r>
          <a:r>
            <a:rPr lang="en-US" sz="1000">
              <a:solidFill>
                <a:schemeClr val="accent6"/>
              </a:solidFill>
              <a:effectLst/>
              <a:latin typeface="+mn-lt"/>
              <a:ea typeface="+mn-ea"/>
              <a:cs typeface="+mn-cs"/>
            </a:rPr>
            <a:t>1,008 and 1,031 calls </a:t>
          </a:r>
          <a:r>
            <a:rPr lang="en-US" sz="1000">
              <a:solidFill>
                <a:schemeClr val="tx1">
                  <a:lumMod val="65000"/>
                  <a:lumOff val="35000"/>
                </a:schemeClr>
              </a:solidFill>
              <a:effectLst/>
              <a:latin typeface="+mn-lt"/>
              <a:ea typeface="+mn-ea"/>
              <a:cs typeface="+mn-cs"/>
            </a:rPr>
            <a:t>respectively. These findings indicate that Fridays and Saturdays are the </a:t>
          </a:r>
          <a:r>
            <a:rPr lang="en-US" sz="1000">
              <a:solidFill>
                <a:srgbClr val="C00000"/>
              </a:solidFill>
              <a:effectLst/>
              <a:latin typeface="+mn-lt"/>
              <a:ea typeface="+mn-ea"/>
              <a:cs typeface="+mn-cs"/>
            </a:rPr>
            <a:t>peak periods </a:t>
          </a:r>
          <a:r>
            <a:rPr lang="en-US" sz="1000">
              <a:solidFill>
                <a:schemeClr val="tx1">
                  <a:lumMod val="65000"/>
                  <a:lumOff val="35000"/>
                </a:schemeClr>
              </a:solidFill>
              <a:effectLst/>
              <a:latin typeface="+mn-lt"/>
              <a:ea typeface="+mn-ea"/>
              <a:cs typeface="+mn-cs"/>
            </a:rPr>
            <a:t>for call activity, with significantly more calls received compared to other days of the week. Understanding these peak periods is crucial for the company to allocate appropriate resources and ensure efficient handling of customer calls during these high-demand periods.</a:t>
          </a:r>
        </a:p>
        <a:p>
          <a:pPr algn="l"/>
          <a:endParaRPr lang="en-US" sz="900">
            <a:solidFill>
              <a:schemeClr val="tx1">
                <a:lumMod val="65000"/>
                <a:lumOff val="35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602702</xdr:colOff>
      <xdr:row>0</xdr:row>
      <xdr:rowOff>15436</xdr:rowOff>
    </xdr:from>
    <xdr:to>
      <xdr:col>14</xdr:col>
      <xdr:colOff>0</xdr:colOff>
      <xdr:row>17</xdr:row>
      <xdr:rowOff>5911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219074</xdr:colOff>
      <xdr:row>26</xdr:row>
      <xdr:rowOff>152400</xdr:rowOff>
    </xdr:from>
    <xdr:to>
      <xdr:col>11</xdr:col>
      <xdr:colOff>571499</xdr:colOff>
      <xdr:row>41</xdr:row>
      <xdr:rowOff>38100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133350</xdr:colOff>
      <xdr:row>0</xdr:row>
      <xdr:rowOff>19050</xdr:rowOff>
    </xdr:from>
    <xdr:to>
      <xdr:col>17</xdr:col>
      <xdr:colOff>285750</xdr:colOff>
      <xdr:row>17</xdr:row>
      <xdr:rowOff>19050</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0810875" y="19050"/>
          <a:ext cx="1981200" cy="3238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a:solidFill>
                <a:schemeClr val="tx1">
                  <a:lumMod val="65000"/>
                  <a:lumOff val="35000"/>
                </a:schemeClr>
              </a:solidFill>
              <a:effectLst/>
              <a:latin typeface="+mn-lt"/>
              <a:ea typeface="+mn-ea"/>
              <a:cs typeface="+mn-cs"/>
            </a:rPr>
            <a:t>The analysis reveals a strong correlation between call volume and customer waiting times, particularly during</a:t>
          </a:r>
          <a:r>
            <a:rPr lang="en-US" sz="1200" i="1">
              <a:solidFill>
                <a:srgbClr val="C00000"/>
              </a:solidFill>
              <a:effectLst/>
              <a:latin typeface="+mn-lt"/>
              <a:ea typeface="+mn-ea"/>
              <a:cs typeface="+mn-cs"/>
            </a:rPr>
            <a:t> peak periods</a:t>
          </a:r>
          <a:r>
            <a:rPr lang="en-US" sz="1200">
              <a:solidFill>
                <a:schemeClr val="tx1">
                  <a:lumMod val="65000"/>
                  <a:lumOff val="35000"/>
                </a:schemeClr>
              </a:solidFill>
              <a:effectLst/>
              <a:latin typeface="+mn-lt"/>
              <a:ea typeface="+mn-ea"/>
              <a:cs typeface="+mn-cs"/>
            </a:rPr>
            <a:t>. As the number of calls an agent receives increases, the customer waiting times also tend to lengthen. This suggests that </a:t>
          </a:r>
          <a:r>
            <a:rPr lang="en-US" sz="1200" i="1">
              <a:solidFill>
                <a:srgbClr val="C00000"/>
              </a:solidFill>
              <a:effectLst/>
              <a:latin typeface="+mn-lt"/>
              <a:ea typeface="+mn-ea"/>
              <a:cs typeface="+mn-cs"/>
            </a:rPr>
            <a:t>high</a:t>
          </a:r>
          <a:r>
            <a:rPr lang="en-US" sz="1200">
              <a:solidFill>
                <a:schemeClr val="tx1">
                  <a:lumMod val="65000"/>
                  <a:lumOff val="35000"/>
                </a:schemeClr>
              </a:solidFill>
              <a:effectLst/>
              <a:latin typeface="+mn-lt"/>
              <a:ea typeface="+mn-ea"/>
              <a:cs typeface="+mn-cs"/>
            </a:rPr>
            <a:t> call volumes contribute to</a:t>
          </a:r>
          <a:r>
            <a:rPr lang="en-US" sz="1200">
              <a:solidFill>
                <a:srgbClr val="C00000"/>
              </a:solidFill>
              <a:effectLst/>
              <a:latin typeface="+mn-lt"/>
              <a:ea typeface="+mn-ea"/>
              <a:cs typeface="+mn-cs"/>
            </a:rPr>
            <a:t> </a:t>
          </a:r>
          <a:r>
            <a:rPr lang="en-US" sz="1200" i="1">
              <a:solidFill>
                <a:srgbClr val="C00000"/>
              </a:solidFill>
              <a:effectLst/>
              <a:latin typeface="+mn-lt"/>
              <a:ea typeface="+mn-ea"/>
              <a:cs typeface="+mn-cs"/>
            </a:rPr>
            <a:t>longer</a:t>
          </a:r>
          <a:r>
            <a:rPr lang="en-US" sz="1200">
              <a:solidFill>
                <a:srgbClr val="C00000"/>
              </a:solidFill>
              <a:effectLst/>
              <a:latin typeface="+mn-lt"/>
              <a:ea typeface="+mn-ea"/>
              <a:cs typeface="+mn-cs"/>
            </a:rPr>
            <a:t> </a:t>
          </a:r>
          <a:r>
            <a:rPr lang="en-US" sz="1200">
              <a:solidFill>
                <a:schemeClr val="tx1">
                  <a:lumMod val="65000"/>
                  <a:lumOff val="35000"/>
                </a:schemeClr>
              </a:solidFill>
              <a:effectLst/>
              <a:latin typeface="+mn-lt"/>
              <a:ea typeface="+mn-ea"/>
              <a:cs typeface="+mn-cs"/>
            </a:rPr>
            <a:t>customer waiting times, indicating potential challenges in resource allocation and management.</a:t>
          </a:r>
          <a:endParaRPr lang="en-US" sz="1100">
            <a:solidFill>
              <a:schemeClr val="tx1">
                <a:lumMod val="65000"/>
                <a:lumOff val="3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2088930</xdr:colOff>
      <xdr:row>0</xdr:row>
      <xdr:rowOff>60764</xdr:rowOff>
    </xdr:from>
    <xdr:to>
      <xdr:col>14</xdr:col>
      <xdr:colOff>0</xdr:colOff>
      <xdr:row>17</xdr:row>
      <xdr:rowOff>117914</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285749</xdr:colOff>
      <xdr:row>2</xdr:row>
      <xdr:rowOff>164880</xdr:rowOff>
    </xdr:from>
    <xdr:to>
      <xdr:col>14</xdr:col>
      <xdr:colOff>0</xdr:colOff>
      <xdr:row>17</xdr:row>
      <xdr:rowOff>117255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142875</xdr:colOff>
      <xdr:row>0</xdr:row>
      <xdr:rowOff>57149</xdr:rowOff>
    </xdr:from>
    <xdr:to>
      <xdr:col>17</xdr:col>
      <xdr:colOff>295275</xdr:colOff>
      <xdr:row>17</xdr:row>
      <xdr:rowOff>123824</xdr:rowOff>
    </xdr:to>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12639675" y="57149"/>
          <a:ext cx="1981200" cy="3305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50" b="0" i="0">
              <a:solidFill>
                <a:schemeClr val="tx1">
                  <a:lumMod val="65000"/>
                  <a:lumOff val="35000"/>
                </a:schemeClr>
              </a:solidFill>
              <a:effectLst/>
              <a:latin typeface="Source Sans Pro" panose="020B0503030403020204" pitchFamily="34" charset="0"/>
            </a:rPr>
            <a:t>The analysis highlights a clear correlation between </a:t>
          </a:r>
          <a:r>
            <a:rPr lang="en-US" sz="1050" b="0" i="1">
              <a:solidFill>
                <a:srgbClr val="C00000"/>
              </a:solidFill>
              <a:effectLst/>
              <a:latin typeface="Source Sans Pro" panose="020B0503030403020204" pitchFamily="34" charset="0"/>
            </a:rPr>
            <a:t>increasing</a:t>
          </a:r>
          <a:r>
            <a:rPr lang="en-US" sz="1050" b="0" i="0">
              <a:solidFill>
                <a:schemeClr val="tx1">
                  <a:lumMod val="65000"/>
                  <a:lumOff val="35000"/>
                </a:schemeClr>
              </a:solidFill>
              <a:effectLst/>
              <a:latin typeface="Source Sans Pro" panose="020B0503030403020204" pitchFamily="34" charset="0"/>
            </a:rPr>
            <a:t> call volume and </a:t>
          </a:r>
          <a:r>
            <a:rPr lang="en-US" sz="1050" b="0" i="1">
              <a:solidFill>
                <a:srgbClr val="C00000"/>
              </a:solidFill>
              <a:effectLst/>
              <a:latin typeface="Source Sans Pro" panose="020B0503030403020204" pitchFamily="34" charset="0"/>
            </a:rPr>
            <a:t>longer</a:t>
          </a:r>
          <a:r>
            <a:rPr lang="en-US" sz="1050" b="0" i="0">
              <a:solidFill>
                <a:schemeClr val="tx1">
                  <a:lumMod val="65000"/>
                  <a:lumOff val="35000"/>
                </a:schemeClr>
              </a:solidFill>
              <a:effectLst/>
              <a:latin typeface="Source Sans Pro" panose="020B0503030403020204" pitchFamily="34" charset="0"/>
            </a:rPr>
            <a:t> waiting times, which in turn </a:t>
          </a:r>
          <a:r>
            <a:rPr lang="en-US" sz="1050" b="0" i="1">
              <a:solidFill>
                <a:srgbClr val="C00000"/>
              </a:solidFill>
              <a:effectLst/>
              <a:latin typeface="Source Sans Pro" panose="020B0503030403020204" pitchFamily="34" charset="0"/>
            </a:rPr>
            <a:t>negatively</a:t>
          </a:r>
          <a:r>
            <a:rPr lang="en-US" sz="1050" b="0" i="0">
              <a:solidFill>
                <a:schemeClr val="tx1">
                  <a:lumMod val="65000"/>
                  <a:lumOff val="35000"/>
                </a:schemeClr>
              </a:solidFill>
              <a:effectLst/>
              <a:latin typeface="Source Sans Pro" panose="020B0503030403020204" pitchFamily="34" charset="0"/>
            </a:rPr>
            <a:t> impacts customer satisfaction ratings. This suggests that high call volumes create a bottleneck in customer service, leading to frustration and dissatisfaction among customers. It is important for the company to address this issue by implementing strategies to efficiently manage call volume and reduce waiting times, ultimately enhancing customer satisfaction levels.</a:t>
          </a:r>
          <a:endParaRPr lang="en-US" sz="1000">
            <a:solidFill>
              <a:schemeClr val="tx1">
                <a:lumMod val="65000"/>
                <a:lumOff val="35000"/>
              </a:schemeClr>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209550</xdr:colOff>
      <xdr:row>1</xdr:row>
      <xdr:rowOff>85725</xdr:rowOff>
    </xdr:from>
    <xdr:to>
      <xdr:col>7</xdr:col>
      <xdr:colOff>0</xdr:colOff>
      <xdr:row>2</xdr:row>
      <xdr:rowOff>190500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819150" y="276225"/>
          <a:ext cx="3448050" cy="295275"/>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indent="0"/>
          <a:r>
            <a:rPr lang="en-US" sz="1600" b="1">
              <a:solidFill>
                <a:schemeClr val="dk1">
                  <a:lumMod val="100000"/>
                </a:schemeClr>
              </a:solidFill>
              <a:latin typeface="+mn-lt"/>
              <a:ea typeface="+mn-ea"/>
              <a:cs typeface="+mn-cs"/>
            </a:rPr>
            <a:t>Agent's Performance Indicator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1152525</xdr:colOff>
      <xdr:row>5</xdr:row>
      <xdr:rowOff>104775</xdr:rowOff>
    </xdr:from>
    <xdr:to>
      <xdr:col>7</xdr:col>
      <xdr:colOff>142875</xdr:colOff>
      <xdr:row>19</xdr:row>
      <xdr:rowOff>180975</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266701</xdr:colOff>
      <xdr:row>20</xdr:row>
      <xdr:rowOff>104775</xdr:rowOff>
    </xdr:from>
    <xdr:to>
      <xdr:col>8</xdr:col>
      <xdr:colOff>323850</xdr:colOff>
      <xdr:row>34</xdr:row>
      <xdr:rowOff>180975</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185737</xdr:colOff>
      <xdr:row>36</xdr:row>
      <xdr:rowOff>57149</xdr:rowOff>
    </xdr:from>
    <xdr:to>
      <xdr:col>10</xdr:col>
      <xdr:colOff>138112</xdr:colOff>
      <xdr:row>48</xdr:row>
      <xdr:rowOff>9524</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1547812</xdr:colOff>
      <xdr:row>51</xdr:row>
      <xdr:rowOff>0</xdr:rowOff>
    </xdr:from>
    <xdr:to>
      <xdr:col>9</xdr:col>
      <xdr:colOff>14287</xdr:colOff>
      <xdr:row>65</xdr:row>
      <xdr:rowOff>76200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914400</xdr:colOff>
      <xdr:row>5</xdr:row>
      <xdr:rowOff>66675</xdr:rowOff>
    </xdr:from>
    <xdr:to>
      <xdr:col>11</xdr:col>
      <xdr:colOff>51184</xdr:colOff>
      <xdr:row>19</xdr:row>
      <xdr:rowOff>142875</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63314</xdr:colOff>
      <xdr:row>9</xdr:row>
      <xdr:rowOff>133349</xdr:rowOff>
    </xdr:from>
    <xdr:to>
      <xdr:col>10</xdr:col>
      <xdr:colOff>582706</xdr:colOff>
      <xdr:row>25</xdr:row>
      <xdr:rowOff>66674</xdr:rowOff>
    </xdr:to>
    <xdr:sp macro="" textlink="">
      <xdr:nvSpPr>
        <xdr:cNvPr id="36" name="Rectangle: Rounded Corners 35">
          <a:extLst>
            <a:ext uri="{FF2B5EF4-FFF2-40B4-BE49-F238E27FC236}">
              <a16:creationId xmlns:a16="http://schemas.microsoft.com/office/drawing/2014/main" id="{00000000-0008-0000-0900-000024000000}"/>
            </a:ext>
          </a:extLst>
        </xdr:cNvPr>
        <xdr:cNvSpPr/>
      </xdr:nvSpPr>
      <xdr:spPr>
        <a:xfrm>
          <a:off x="63314" y="2027143"/>
          <a:ext cx="6906745" cy="2981325"/>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266700</xdr:colOff>
      <xdr:row>1</xdr:row>
      <xdr:rowOff>9232</xdr:rowOff>
    </xdr:from>
    <xdr:to>
      <xdr:col>0</xdr:col>
      <xdr:colOff>857250</xdr:colOff>
      <xdr:row>3</xdr:row>
      <xdr:rowOff>321854</xdr:rowOff>
    </xdr:to>
    <xdr:pic>
      <xdr:nvPicPr>
        <xdr:cNvPr id="3" name="Graphic 2" descr="Call center with solid fill">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6700" y="199732"/>
          <a:ext cx="590550" cy="626947"/>
        </a:xfrm>
        <a:prstGeom prst="rect">
          <a:avLst/>
        </a:prstGeom>
      </xdr:spPr>
    </xdr:pic>
    <xdr:clientData/>
  </xdr:twoCellAnchor>
  <xdr:twoCellAnchor>
    <xdr:from>
      <xdr:col>0</xdr:col>
      <xdr:colOff>846366</xdr:colOff>
      <xdr:row>2</xdr:row>
      <xdr:rowOff>76200</xdr:rowOff>
    </xdr:from>
    <xdr:to>
      <xdr:col>6</xdr:col>
      <xdr:colOff>190500</xdr:colOff>
      <xdr:row>3</xdr:row>
      <xdr:rowOff>304800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846366" y="457200"/>
          <a:ext cx="3325584" cy="352425"/>
        </a:xfrm>
        <a:prstGeom prst="rect">
          <a:avLst/>
        </a:prstGeom>
        <a:solidFill>
          <a:srgbClr val="354F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latin typeface="Verdana" panose="020B0604030504040204" pitchFamily="34" charset="0"/>
              <a:ea typeface="Verdana" panose="020B0604030504040204" pitchFamily="34" charset="0"/>
            </a:rPr>
            <a:t>Call</a:t>
          </a:r>
          <a:r>
            <a:rPr lang="en-US" sz="1800" b="1" baseline="0">
              <a:solidFill>
                <a:schemeClr val="bg1"/>
              </a:solidFill>
              <a:latin typeface="Verdana" panose="020B0604030504040204" pitchFamily="34" charset="0"/>
              <a:ea typeface="Verdana" panose="020B0604030504040204" pitchFamily="34" charset="0"/>
            </a:rPr>
            <a:t> Center Performance</a:t>
          </a:r>
          <a:endParaRPr lang="en-US" sz="1800" b="1">
            <a:solidFill>
              <a:schemeClr val="bg1"/>
            </a:solidFill>
            <a:latin typeface="Verdana" panose="020B0604030504040204" pitchFamily="34" charset="0"/>
            <a:ea typeface="Verdana" panose="020B0604030504040204" pitchFamily="34" charset="0"/>
          </a:endParaRPr>
        </a:p>
      </xdr:txBody>
    </xdr:sp>
    <xdr:clientData/>
  </xdr:twoCellAnchor>
  <xdr:oneCellAnchor>
    <xdr:from>
      <xdr:col>7</xdr:col>
      <xdr:colOff>216297</xdr:colOff>
      <xdr:row>0</xdr:row>
      <xdr:rowOff>141795</xdr:rowOff>
    </xdr:from>
    <xdr:ext cx="1304925" cy="276224"/>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4807347" y="141795"/>
          <a:ext cx="1304925" cy="2762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rPr>
            <a:t>Total</a:t>
          </a:r>
          <a:r>
            <a:rPr lang="en-US" sz="1100" b="1" baseline="0">
              <a:solidFill>
                <a:schemeClr val="bg1"/>
              </a:solidFill>
            </a:rPr>
            <a:t> Calls Handled</a:t>
          </a:r>
          <a:endParaRPr lang="en-US" sz="1100" b="1">
            <a:solidFill>
              <a:schemeClr val="bg1"/>
            </a:solidFill>
          </a:endParaRPr>
        </a:p>
      </xdr:txBody>
    </xdr:sp>
    <xdr:clientData/>
  </xdr:oneCellAnchor>
  <xdr:twoCellAnchor>
    <xdr:from>
      <xdr:col>8</xdr:col>
      <xdr:colOff>4804</xdr:colOff>
      <xdr:row>2</xdr:row>
      <xdr:rowOff>45944</xdr:rowOff>
    </xdr:from>
    <xdr:to>
      <xdr:col>9</xdr:col>
      <xdr:colOff>254160</xdr:colOff>
      <xdr:row>3</xdr:row>
      <xdr:rowOff>324491</xdr:rowOff>
    </xdr:to>
    <xdr:sp macro="" textlink="Charts!$B$3">
      <xdr:nvSpPr>
        <xdr:cNvPr id="17" name="Rectangle: Rounded Corners 16">
          <a:extLst>
            <a:ext uri="{FF2B5EF4-FFF2-40B4-BE49-F238E27FC236}">
              <a16:creationId xmlns:a16="http://schemas.microsoft.com/office/drawing/2014/main" id="{00000000-0008-0000-0900-000011000000}"/>
            </a:ext>
          </a:extLst>
        </xdr:cNvPr>
        <xdr:cNvSpPr/>
      </xdr:nvSpPr>
      <xdr:spPr>
        <a:xfrm>
          <a:off x="5205454" y="426944"/>
          <a:ext cx="858956" cy="402372"/>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17B521C4-00F0-4FF8-A215-4335D1DE60EB}" type="TxLink">
            <a:rPr lang="en-US" sz="2000" b="0" i="0" u="none" strike="noStrike">
              <a:solidFill>
                <a:srgbClr val="354F52"/>
              </a:solidFill>
              <a:latin typeface="Calibri"/>
              <a:ea typeface="Calibri"/>
              <a:cs typeface="Calibri"/>
            </a:rPr>
            <a:pPr algn="ctr"/>
            <a:t>5573</a:t>
          </a:fld>
          <a:endParaRPr lang="en-US" sz="2000">
            <a:solidFill>
              <a:srgbClr val="354F52"/>
            </a:solidFill>
          </a:endParaRPr>
        </a:p>
      </xdr:txBody>
    </xdr:sp>
    <xdr:clientData/>
  </xdr:twoCellAnchor>
  <xdr:oneCellAnchor>
    <xdr:from>
      <xdr:col>10</xdr:col>
      <xdr:colOff>389413</xdr:colOff>
      <xdr:row>0</xdr:row>
      <xdr:rowOff>137713</xdr:rowOff>
    </xdr:from>
    <xdr:ext cx="1400630" cy="227239"/>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6809263" y="137713"/>
          <a:ext cx="1400630" cy="227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rPr>
            <a:t>Average Queue</a:t>
          </a:r>
          <a:r>
            <a:rPr lang="en-US" sz="1100" b="1" baseline="0">
              <a:solidFill>
                <a:schemeClr val="bg1"/>
              </a:solidFill>
            </a:rPr>
            <a:t> Time</a:t>
          </a:r>
          <a:endParaRPr lang="en-US" sz="1100" b="1">
            <a:solidFill>
              <a:schemeClr val="bg1"/>
            </a:solidFill>
          </a:endParaRPr>
        </a:p>
      </xdr:txBody>
    </xdr:sp>
    <xdr:clientData/>
  </xdr:oneCellAnchor>
  <xdr:oneCellAnchor>
    <xdr:from>
      <xdr:col>13</xdr:col>
      <xdr:colOff>505834</xdr:colOff>
      <xdr:row>0</xdr:row>
      <xdr:rowOff>132270</xdr:rowOff>
    </xdr:from>
    <xdr:ext cx="1689555" cy="276224"/>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8754484" y="132270"/>
          <a:ext cx="1689555" cy="2762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rPr>
            <a:t>Average</a:t>
          </a:r>
          <a:r>
            <a:rPr lang="en-US" sz="1100" b="1" baseline="0">
              <a:solidFill>
                <a:schemeClr val="bg1"/>
              </a:solidFill>
            </a:rPr>
            <a:t> Customer Rating</a:t>
          </a:r>
          <a:endParaRPr lang="en-US" sz="1100" b="1">
            <a:solidFill>
              <a:schemeClr val="bg1"/>
            </a:solidFill>
          </a:endParaRPr>
        </a:p>
      </xdr:txBody>
    </xdr:sp>
    <xdr:clientData/>
  </xdr:oneCellAnchor>
  <xdr:oneCellAnchor>
    <xdr:from>
      <xdr:col>17</xdr:col>
      <xdr:colOff>295276</xdr:colOff>
      <xdr:row>0</xdr:row>
      <xdr:rowOff>132270</xdr:rowOff>
    </xdr:from>
    <xdr:ext cx="1513974" cy="276224"/>
    <xdr:sp macro="" textlink="">
      <xdr:nvSpPr>
        <xdr:cNvPr id="21" name="TextBox 20">
          <a:extLst>
            <a:ext uri="{FF2B5EF4-FFF2-40B4-BE49-F238E27FC236}">
              <a16:creationId xmlns:a16="http://schemas.microsoft.com/office/drawing/2014/main" id="{00000000-0008-0000-0900-000015000000}"/>
            </a:ext>
          </a:extLst>
        </xdr:cNvPr>
        <xdr:cNvSpPr txBox="1"/>
      </xdr:nvSpPr>
      <xdr:spPr>
        <a:xfrm>
          <a:off x="10982326" y="132270"/>
          <a:ext cx="1513974" cy="2762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rPr>
            <a:t>Average Holding</a:t>
          </a:r>
          <a:r>
            <a:rPr lang="en-US" sz="1100" b="1" baseline="0">
              <a:solidFill>
                <a:schemeClr val="bg1"/>
              </a:solidFill>
            </a:rPr>
            <a:t> Time</a:t>
          </a:r>
          <a:endParaRPr lang="en-US" sz="1100" b="1">
            <a:solidFill>
              <a:schemeClr val="bg1"/>
            </a:solidFill>
          </a:endParaRPr>
        </a:p>
      </xdr:txBody>
    </xdr:sp>
    <xdr:clientData/>
  </xdr:oneCellAnchor>
  <xdr:twoCellAnchor>
    <xdr:from>
      <xdr:col>11</xdr:col>
      <xdr:colOff>211833</xdr:colOff>
      <xdr:row>2</xdr:row>
      <xdr:rowOff>28575</xdr:rowOff>
    </xdr:from>
    <xdr:to>
      <xdr:col>12</xdr:col>
      <xdr:colOff>457649</xdr:colOff>
      <xdr:row>3</xdr:row>
      <xdr:rowOff>307122</xdr:rowOff>
    </xdr:to>
    <xdr:sp macro="" textlink="Charts!$B$6">
      <xdr:nvSpPr>
        <xdr:cNvPr id="31" name="Rectangle: Rounded Corners 30">
          <a:extLst>
            <a:ext uri="{FF2B5EF4-FFF2-40B4-BE49-F238E27FC236}">
              <a16:creationId xmlns:a16="http://schemas.microsoft.com/office/drawing/2014/main" id="{00000000-0008-0000-0900-00001F000000}"/>
            </a:ext>
          </a:extLst>
        </xdr:cNvPr>
        <xdr:cNvSpPr/>
      </xdr:nvSpPr>
      <xdr:spPr>
        <a:xfrm>
          <a:off x="7241283" y="409575"/>
          <a:ext cx="855416" cy="402372"/>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800BAE4E-402C-436A-95A2-ECF43F25506B}" type="TxLink">
            <a:rPr lang="en-US" sz="2000" b="0" i="0" u="none" strike="noStrike">
              <a:solidFill>
                <a:srgbClr val="354F52"/>
              </a:solidFill>
              <a:latin typeface="Calibri"/>
              <a:ea typeface="Calibri"/>
              <a:cs typeface="Calibri"/>
            </a:rPr>
            <a:pPr algn="ctr"/>
            <a:t>50.79</a:t>
          </a:fld>
          <a:endParaRPr lang="en-US" sz="2000">
            <a:solidFill>
              <a:srgbClr val="354F52"/>
            </a:solidFill>
          </a:endParaRPr>
        </a:p>
      </xdr:txBody>
    </xdr:sp>
    <xdr:clientData/>
  </xdr:twoCellAnchor>
  <xdr:twoCellAnchor>
    <xdr:from>
      <xdr:col>14</xdr:col>
      <xdr:colOff>539147</xdr:colOff>
      <xdr:row>2</xdr:row>
      <xdr:rowOff>38100</xdr:rowOff>
    </xdr:from>
    <xdr:to>
      <xdr:col>16</xdr:col>
      <xdr:colOff>175362</xdr:colOff>
      <xdr:row>3</xdr:row>
      <xdr:rowOff>316647</xdr:rowOff>
    </xdr:to>
    <xdr:sp macro="" textlink="Charts!B9">
      <xdr:nvSpPr>
        <xdr:cNvPr id="32" name="Rectangle: Rounded Corners 31">
          <a:extLst>
            <a:ext uri="{FF2B5EF4-FFF2-40B4-BE49-F238E27FC236}">
              <a16:creationId xmlns:a16="http://schemas.microsoft.com/office/drawing/2014/main" id="{00000000-0008-0000-0900-000020000000}"/>
            </a:ext>
          </a:extLst>
        </xdr:cNvPr>
        <xdr:cNvSpPr/>
      </xdr:nvSpPr>
      <xdr:spPr>
        <a:xfrm>
          <a:off x="9397397" y="419100"/>
          <a:ext cx="855415" cy="402372"/>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67407A65-E7E5-40B0-92CE-B3F6E32A149F}" type="TxLink">
            <a:rPr lang="en-US" sz="2000" b="0" i="0" u="none" strike="noStrike">
              <a:solidFill>
                <a:srgbClr val="354F52"/>
              </a:solidFill>
              <a:latin typeface="Calibri"/>
              <a:ea typeface="Calibri"/>
              <a:cs typeface="Calibri"/>
            </a:rPr>
            <a:pPr algn="ctr"/>
            <a:t>7.53</a:t>
          </a:fld>
          <a:endParaRPr lang="en-US" sz="2000">
            <a:solidFill>
              <a:srgbClr val="354F52"/>
            </a:solidFill>
          </a:endParaRPr>
        </a:p>
      </xdr:txBody>
    </xdr:sp>
    <xdr:clientData/>
  </xdr:twoCellAnchor>
  <xdr:twoCellAnchor>
    <xdr:from>
      <xdr:col>18</xdr:col>
      <xdr:colOff>180660</xdr:colOff>
      <xdr:row>2</xdr:row>
      <xdr:rowOff>28575</xdr:rowOff>
    </xdr:from>
    <xdr:to>
      <xdr:col>19</xdr:col>
      <xdr:colOff>428625</xdr:colOff>
      <xdr:row>3</xdr:row>
      <xdr:rowOff>307122</xdr:rowOff>
    </xdr:to>
    <xdr:sp macro="" textlink="Charts!B12">
      <xdr:nvSpPr>
        <xdr:cNvPr id="33" name="Rectangle: Rounded Corners 32">
          <a:extLst>
            <a:ext uri="{FF2B5EF4-FFF2-40B4-BE49-F238E27FC236}">
              <a16:creationId xmlns:a16="http://schemas.microsoft.com/office/drawing/2014/main" id="{00000000-0008-0000-0900-000021000000}"/>
            </a:ext>
          </a:extLst>
        </xdr:cNvPr>
        <xdr:cNvSpPr/>
      </xdr:nvSpPr>
      <xdr:spPr>
        <a:xfrm>
          <a:off x="11477310" y="409575"/>
          <a:ext cx="857565" cy="402372"/>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88D5DC83-142F-4A9D-90F0-130109F6A94D}" type="TxLink">
            <a:rPr lang="en-US" sz="2000" b="0" i="0" u="none" strike="noStrike">
              <a:solidFill>
                <a:srgbClr val="354F52"/>
              </a:solidFill>
              <a:latin typeface="Calibri"/>
              <a:ea typeface="Calibri"/>
              <a:cs typeface="Calibri"/>
            </a:rPr>
            <a:pPr algn="ctr"/>
            <a:t>10:48</a:t>
          </a:fld>
          <a:endParaRPr lang="en-US" sz="2000">
            <a:solidFill>
              <a:srgbClr val="354F52"/>
            </a:solidFill>
          </a:endParaRPr>
        </a:p>
      </xdr:txBody>
    </xdr:sp>
    <xdr:clientData/>
  </xdr:twoCellAnchor>
  <xdr:twoCellAnchor>
    <xdr:from>
      <xdr:col>0</xdr:col>
      <xdr:colOff>562237</xdr:colOff>
      <xdr:row>11</xdr:row>
      <xdr:rowOff>82928</xdr:rowOff>
    </xdr:from>
    <xdr:to>
      <xdr:col>10</xdr:col>
      <xdr:colOff>65305</xdr:colOff>
      <xdr:row>25</xdr:row>
      <xdr:rowOff>73402</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587595</xdr:colOff>
      <xdr:row>9</xdr:row>
      <xdr:rowOff>144562</xdr:rowOff>
    </xdr:from>
    <xdr:to>
      <xdr:col>9</xdr:col>
      <xdr:colOff>588088</xdr:colOff>
      <xdr:row>25</xdr:row>
      <xdr:rowOff>68362</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133349</xdr:colOff>
      <xdr:row>4</xdr:row>
      <xdr:rowOff>57151</xdr:rowOff>
    </xdr:from>
    <xdr:to>
      <xdr:col>19</xdr:col>
      <xdr:colOff>438148</xdr:colOff>
      <xdr:row>14</xdr:row>
      <xdr:rowOff>47625</xdr:rowOff>
    </xdr:to>
    <xdr:sp macro="" textlink="">
      <xdr:nvSpPr>
        <xdr:cNvPr id="38" name="Rectangle: Rounded Corners 37">
          <a:extLst>
            <a:ext uri="{FF2B5EF4-FFF2-40B4-BE49-F238E27FC236}">
              <a16:creationId xmlns:a16="http://schemas.microsoft.com/office/drawing/2014/main" id="{00000000-0008-0000-0900-000026000000}"/>
            </a:ext>
          </a:extLst>
        </xdr:cNvPr>
        <xdr:cNvSpPr/>
      </xdr:nvSpPr>
      <xdr:spPr>
        <a:xfrm rot="5400000">
          <a:off x="8805862" y="-642937"/>
          <a:ext cx="1895474" cy="5181599"/>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47626</xdr:colOff>
      <xdr:row>4</xdr:row>
      <xdr:rowOff>47625</xdr:rowOff>
    </xdr:from>
    <xdr:to>
      <xdr:col>11</xdr:col>
      <xdr:colOff>38100</xdr:colOff>
      <xdr:row>9</xdr:row>
      <xdr:rowOff>47625</xdr:rowOff>
    </xdr:to>
    <mc:AlternateContent xmlns:mc="http://schemas.openxmlformats.org/markup-compatibility/2006" xmlns:a14="http://schemas.microsoft.com/office/drawing/2010/main">
      <mc:Choice Requires="a14">
        <xdr:graphicFrame macro="">
          <xdr:nvGraphicFramePr>
            <xdr:cNvPr id="46" name="Name">
              <a:extLst>
                <a:ext uri="{FF2B5EF4-FFF2-40B4-BE49-F238E27FC236}">
                  <a16:creationId xmlns:a16="http://schemas.microsoft.com/office/drawing/2014/main" id="{00000000-0008-0000-0900-00002E00000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47626" y="990600"/>
              <a:ext cx="7019924"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142875</xdr:colOff>
      <xdr:row>14</xdr:row>
      <xdr:rowOff>180977</xdr:rowOff>
    </xdr:from>
    <xdr:to>
      <xdr:col>19</xdr:col>
      <xdr:colOff>438151</xdr:colOff>
      <xdr:row>25</xdr:row>
      <xdr:rowOff>85727</xdr:rowOff>
    </xdr:to>
    <xdr:sp macro="" textlink="">
      <xdr:nvSpPr>
        <xdr:cNvPr id="48" name="Rectangle: Rounded Corners 47">
          <a:extLst>
            <a:ext uri="{FF2B5EF4-FFF2-40B4-BE49-F238E27FC236}">
              <a16:creationId xmlns:a16="http://schemas.microsoft.com/office/drawing/2014/main" id="{00000000-0008-0000-0900-000030000000}"/>
            </a:ext>
          </a:extLst>
        </xdr:cNvPr>
        <xdr:cNvSpPr/>
      </xdr:nvSpPr>
      <xdr:spPr>
        <a:xfrm rot="5400000">
          <a:off x="8703330" y="1459287"/>
          <a:ext cx="2000250" cy="5136217"/>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342900</xdr:colOff>
      <xdr:row>11</xdr:row>
      <xdr:rowOff>95250</xdr:rowOff>
    </xdr:from>
    <xdr:ext cx="184731" cy="264560"/>
    <xdr:sp macro="" textlink="">
      <xdr:nvSpPr>
        <xdr:cNvPr id="54" name="TextBox 53">
          <a:extLst>
            <a:ext uri="{FF2B5EF4-FFF2-40B4-BE49-F238E27FC236}">
              <a16:creationId xmlns:a16="http://schemas.microsoft.com/office/drawing/2014/main" id="{00000000-0008-0000-0900-000036000000}"/>
            </a:ext>
          </a:extLst>
        </xdr:cNvPr>
        <xdr:cNvSpPr txBox="1"/>
      </xdr:nvSpPr>
      <xdr:spPr>
        <a:xfrm>
          <a:off x="1276350" y="2371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7</xdr:col>
      <xdr:colOff>66676</xdr:colOff>
      <xdr:row>12</xdr:row>
      <xdr:rowOff>0</xdr:rowOff>
    </xdr:from>
    <xdr:to>
      <xdr:col>10</xdr:col>
      <xdr:colOff>1681</xdr:colOff>
      <xdr:row>17</xdr:row>
      <xdr:rowOff>64434</xdr:rowOff>
    </xdr:to>
    <xdr:sp macro="" textlink="">
      <xdr:nvSpPr>
        <xdr:cNvPr id="55" name="TextBox 54">
          <a:extLst>
            <a:ext uri="{FF2B5EF4-FFF2-40B4-BE49-F238E27FC236}">
              <a16:creationId xmlns:a16="http://schemas.microsoft.com/office/drawing/2014/main" id="{00000000-0008-0000-0900-000037000000}"/>
            </a:ext>
          </a:extLst>
        </xdr:cNvPr>
        <xdr:cNvSpPr txBox="1"/>
      </xdr:nvSpPr>
      <xdr:spPr>
        <a:xfrm>
          <a:off x="4657726" y="2466975"/>
          <a:ext cx="1763805" cy="1016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b="0" i="1" baseline="0">
              <a:solidFill>
                <a:schemeClr val="tx1">
                  <a:lumMod val="65000"/>
                  <a:lumOff val="35000"/>
                </a:schemeClr>
              </a:solidFill>
              <a:effectLst/>
              <a:latin typeface="+mn-lt"/>
              <a:ea typeface="+mn-ea"/>
              <a:cs typeface="+mn-cs"/>
            </a:rPr>
            <a:t>As the call volume increases, the waiting times also become longer, resulting in a significant decline in customer satisfaction ratings.</a:t>
          </a:r>
          <a:endParaRPr lang="en-US" sz="1100" b="0">
            <a:solidFill>
              <a:schemeClr val="tx1">
                <a:lumMod val="65000"/>
                <a:lumOff val="35000"/>
              </a:schemeClr>
            </a:solidFill>
          </a:endParaRPr>
        </a:p>
      </xdr:txBody>
    </xdr:sp>
    <xdr:clientData/>
  </xdr:twoCellAnchor>
  <xdr:twoCellAnchor>
    <xdr:from>
      <xdr:col>11</xdr:col>
      <xdr:colOff>425823</xdr:colOff>
      <xdr:row>4</xdr:row>
      <xdr:rowOff>100854</xdr:rowOff>
    </xdr:from>
    <xdr:to>
      <xdr:col>19</xdr:col>
      <xdr:colOff>156882</xdr:colOff>
      <xdr:row>13</xdr:row>
      <xdr:rowOff>179294</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369795</xdr:colOff>
      <xdr:row>14</xdr:row>
      <xdr:rowOff>179294</xdr:rowOff>
    </xdr:from>
    <xdr:to>
      <xdr:col>19</xdr:col>
      <xdr:colOff>313764</xdr:colOff>
      <xdr:row>25</xdr:row>
      <xdr:rowOff>89648</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201705</xdr:colOff>
      <xdr:row>14</xdr:row>
      <xdr:rowOff>168088</xdr:rowOff>
    </xdr:from>
    <xdr:to>
      <xdr:col>15</xdr:col>
      <xdr:colOff>33618</xdr:colOff>
      <xdr:row>25</xdr:row>
      <xdr:rowOff>112059</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838200</xdr:colOff>
      <xdr:row>10</xdr:row>
      <xdr:rowOff>38099</xdr:rowOff>
    </xdr:from>
    <xdr:to>
      <xdr:col>6</xdr:col>
      <xdr:colOff>476249</xdr:colOff>
      <xdr:row>12</xdr:row>
      <xdr:rowOff>127746</xdr:rowOff>
    </xdr:to>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838200" y="2124074"/>
          <a:ext cx="3619499" cy="4706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lumMod val="65000"/>
                  <a:lumOff val="35000"/>
                </a:schemeClr>
              </a:solidFill>
            </a:rPr>
            <a:t>Factors Contributing</a:t>
          </a:r>
          <a:r>
            <a:rPr lang="en-US" sz="1400" b="1" baseline="0">
              <a:solidFill>
                <a:schemeClr val="tx1">
                  <a:lumMod val="65000"/>
                  <a:lumOff val="35000"/>
                </a:schemeClr>
              </a:solidFill>
            </a:rPr>
            <a:t> To Low Customer Ratings</a:t>
          </a:r>
          <a:endParaRPr lang="en-US" sz="1400" b="1">
            <a:solidFill>
              <a:schemeClr val="tx1">
                <a:lumMod val="65000"/>
                <a:lumOff val="35000"/>
              </a:schemeClr>
            </a:solidFill>
          </a:endParaRPr>
        </a:p>
      </xdr:txBody>
    </xdr:sp>
    <xdr:clientData/>
  </xdr:twoCellAnchor>
  <xdr:twoCellAnchor editAs="oneCell">
    <xdr:from>
      <xdr:col>17</xdr:col>
      <xdr:colOff>297600</xdr:colOff>
      <xdr:row>1</xdr:row>
      <xdr:rowOff>178575</xdr:rowOff>
    </xdr:from>
    <xdr:to>
      <xdr:col>18</xdr:col>
      <xdr:colOff>171450</xdr:colOff>
      <xdr:row>3</xdr:row>
      <xdr:rowOff>347700</xdr:rowOff>
    </xdr:to>
    <xdr:pic>
      <xdr:nvPicPr>
        <xdr:cNvPr id="14" name="Graphic 13" descr="Stopwatch with solid fill">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984650" y="369075"/>
          <a:ext cx="483450" cy="483450"/>
        </a:xfrm>
        <a:prstGeom prst="rect">
          <a:avLst/>
        </a:prstGeom>
      </xdr:spPr>
    </xdr:pic>
    <xdr:clientData/>
  </xdr:twoCellAnchor>
  <xdr:twoCellAnchor editAs="oneCell">
    <xdr:from>
      <xdr:col>13</xdr:col>
      <xdr:colOff>565850</xdr:colOff>
      <xdr:row>1</xdr:row>
      <xdr:rowOff>152325</xdr:rowOff>
    </xdr:from>
    <xdr:to>
      <xdr:col>14</xdr:col>
      <xdr:colOff>580250</xdr:colOff>
      <xdr:row>4</xdr:row>
      <xdr:rowOff>23850</xdr:rowOff>
    </xdr:to>
    <xdr:pic>
      <xdr:nvPicPr>
        <xdr:cNvPr id="16" name="Graphic 15" descr="Rating with solid fill">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814500" y="342825"/>
          <a:ext cx="624000" cy="624000"/>
        </a:xfrm>
        <a:prstGeom prst="rect">
          <a:avLst/>
        </a:prstGeom>
      </xdr:spPr>
    </xdr:pic>
    <xdr:clientData/>
  </xdr:twoCellAnchor>
  <xdr:twoCellAnchor editAs="oneCell">
    <xdr:from>
      <xdr:col>7</xdr:col>
      <xdr:colOff>99900</xdr:colOff>
      <xdr:row>1</xdr:row>
      <xdr:rowOff>171374</xdr:rowOff>
    </xdr:from>
    <xdr:to>
      <xdr:col>8</xdr:col>
      <xdr:colOff>9525</xdr:colOff>
      <xdr:row>3</xdr:row>
      <xdr:rowOff>376274</xdr:rowOff>
    </xdr:to>
    <xdr:pic>
      <xdr:nvPicPr>
        <xdr:cNvPr id="24" name="Graphic 23" descr="Speaker phone with solid fill">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690950" y="361874"/>
          <a:ext cx="519225" cy="519225"/>
        </a:xfrm>
        <a:prstGeom prst="rect">
          <a:avLst/>
        </a:prstGeom>
      </xdr:spPr>
    </xdr:pic>
    <xdr:clientData/>
  </xdr:twoCellAnchor>
  <xdr:twoCellAnchor editAs="oneCell">
    <xdr:from>
      <xdr:col>10</xdr:col>
      <xdr:colOff>361950</xdr:colOff>
      <xdr:row>2</xdr:row>
      <xdr:rowOff>9525</xdr:rowOff>
    </xdr:from>
    <xdr:to>
      <xdr:col>11</xdr:col>
      <xdr:colOff>280705</xdr:colOff>
      <xdr:row>3</xdr:row>
      <xdr:rowOff>324445</xdr:rowOff>
    </xdr:to>
    <xdr:pic>
      <xdr:nvPicPr>
        <xdr:cNvPr id="25" name="Graphic 24" descr="Hourglass Finished with solid fill">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781800" y="390525"/>
          <a:ext cx="528355" cy="43874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john Castor" refreshedDate="45082.943810069446" createdVersion="8" refreshedVersion="8" minRefreshableVersion="3" recordCount="251" xr:uid="{3DA1AFFA-A1C7-41B3-87A2-BE5679F30BC9}">
  <cacheSource type="worksheet">
    <worksheetSource name="call_center_data"/>
  </cacheSource>
  <cacheFields count="14">
    <cacheField name="agent_id" numFmtId="0">
      <sharedItems containsSemiMixedTypes="0" containsString="0" containsNumber="1" containsInteger="1" minValue="1" maxValue="10"/>
    </cacheField>
    <cacheField name="Name" numFmtId="0">
      <sharedItems count="10">
        <s v="Mark Ventura"/>
        <s v="Jay Alvarez"/>
        <s v="Josh Vega"/>
        <s v="Cherry Castillo"/>
        <s v="Cecille Chen"/>
        <s v="Peter Rivera"/>
        <s v="Jane Hernandez"/>
        <s v="Rachel Delos Santos"/>
        <s v="Lisa Diaz"/>
        <s v="Eric Molina"/>
      </sharedItems>
    </cacheField>
    <cacheField name="supervisor" numFmtId="0">
      <sharedItems/>
    </cacheField>
    <cacheField name="Hire Date" numFmtId="14">
      <sharedItems containsSemiMixedTypes="0" containsNonDate="0" containsDate="1" containsString="0" minDate="2019-06-09T00:00:00" maxDate="2021-02-12T00:00:00"/>
    </cacheField>
    <cacheField name="tenure" numFmtId="1">
      <sharedItems containsSemiMixedTypes="0" containsString="0" containsNumber="1" containsInteger="1" minValue="4" maxValue="24" count="9">
        <n v="4"/>
        <n v="16"/>
        <n v="22"/>
        <n v="5"/>
        <n v="21"/>
        <n v="6"/>
        <n v="8"/>
        <n v="24"/>
        <n v="13"/>
      </sharedItems>
      <fieldGroup base="4">
        <rangePr autoStart="0" startNum="1" endNum="24" groupInterval="6"/>
        <groupItems count="6">
          <s v="&lt;1"/>
          <s v="1-6"/>
          <s v="7-12"/>
          <s v="13-18"/>
          <s v="19-24"/>
          <s v="&gt;25"/>
        </groupItems>
      </fieldGroup>
    </cacheField>
    <cacheField name="date" numFmtId="14">
      <sharedItems containsSemiMixedTypes="0" containsNonDate="0" containsDate="1" containsString="0" minDate="2021-06-01T00:00:00" maxDate="2021-06-28T00:00:00" count="27">
        <d v="2021-06-13T00:00:00"/>
        <d v="2021-06-04T00:00:00"/>
        <d v="2021-06-23T00:00:00"/>
        <d v="2021-06-20T00:00:00"/>
        <d v="2021-06-07T00:00:00"/>
        <d v="2021-06-17T00:00:00"/>
        <d v="2021-06-16T00:00:00"/>
        <d v="2021-06-11T00:00:00"/>
        <d v="2021-06-10T00:00:00"/>
        <d v="2021-06-03T00:00:00"/>
        <d v="2021-06-06T00:00:00"/>
        <d v="2021-06-01T00:00:00"/>
        <d v="2021-06-12T00:00:00"/>
        <d v="2021-06-14T00:00:00"/>
        <d v="2021-06-19T00:00:00"/>
        <d v="2021-06-09T00:00:00"/>
        <d v="2021-06-05T00:00:00"/>
        <d v="2021-06-21T00:00:00"/>
        <d v="2021-06-24T00:00:00"/>
        <d v="2021-06-22T00:00:00"/>
        <d v="2021-06-25T00:00:00"/>
        <d v="2021-06-15T00:00:00"/>
        <d v="2021-06-08T00:00:00"/>
        <d v="2021-06-18T00:00:00"/>
        <d v="2021-06-26T00:00:00"/>
        <d v="2021-06-27T00:00:00"/>
        <d v="2021-06-02T00:00:00"/>
      </sharedItems>
    </cacheField>
    <cacheField name="weekday" numFmtId="14">
      <sharedItems count="7">
        <s v="Sun"/>
        <s v="Fri"/>
        <s v="Wed"/>
        <s v="Mon"/>
        <s v="Thu"/>
        <s v="Tue"/>
        <s v="Sat"/>
      </sharedItems>
    </cacheField>
    <cacheField name="product_id" numFmtId="0">
      <sharedItems containsSemiMixedTypes="0" containsString="0" containsNumber="1" containsInteger="1" minValue="1" maxValue="3"/>
    </cacheField>
    <cacheField name="product_name" numFmtId="0">
      <sharedItems count="3">
        <s v="Personal Loan"/>
        <s v="Car Loan"/>
        <s v="Property Loan"/>
      </sharedItems>
    </cacheField>
    <cacheField name="calls_handled" numFmtId="0">
      <sharedItems containsSemiMixedTypes="0" containsString="0" containsNumber="1" containsInteger="1" minValue="1" maxValue="39" count="39">
        <n v="29"/>
        <n v="32"/>
        <n v="13"/>
        <n v="6"/>
        <n v="39"/>
        <n v="12"/>
        <n v="28"/>
        <n v="21"/>
        <n v="37"/>
        <n v="1"/>
        <n v="15"/>
        <n v="19"/>
        <n v="17"/>
        <n v="27"/>
        <n v="35"/>
        <n v="26"/>
        <n v="36"/>
        <n v="22"/>
        <n v="23"/>
        <n v="34"/>
        <n v="31"/>
        <n v="25"/>
        <n v="24"/>
        <n v="33"/>
        <n v="20"/>
        <n v="18"/>
        <n v="14"/>
        <n v="10"/>
        <n v="5"/>
        <n v="3"/>
        <n v="7"/>
        <n v="38"/>
        <n v="9"/>
        <n v="16"/>
        <n v="8"/>
        <n v="30"/>
        <n v="4"/>
        <n v="11"/>
        <n v="2"/>
      </sharedItems>
    </cacheField>
    <cacheField name="avg_ht" numFmtId="1">
      <sharedItems containsSemiMixedTypes="0" containsString="0" containsNumber="1" containsInteger="1" minValue="8" maxValue="2972"/>
    </cacheField>
    <cacheField name="avg_ht_in_minutes" numFmtId="45">
      <sharedItems containsSemiMixedTypes="0" containsNonDate="0" containsDate="1" containsString="0" minDate="1899-12-30T00:00:08" maxDate="1899-12-30T00:49:32" count="232">
        <d v="1899-12-30T00:12:34"/>
        <d v="1899-12-30T00:22:05"/>
        <d v="1899-12-30T00:09:05"/>
        <d v="1899-12-30T00:01:26"/>
        <d v="1899-12-30T00:04:26"/>
        <d v="1899-12-30T00:29:25"/>
        <d v="1899-12-30T00:28:48"/>
        <d v="1899-12-30T00:09:58"/>
        <d v="1899-12-30T00:01:15"/>
        <d v="1899-12-30T00:03:00"/>
        <d v="1899-12-30T00:10:39"/>
        <d v="1899-12-30T00:00:57"/>
        <d v="1899-12-30T00:07:36"/>
        <d v="1899-12-30T00:06:07"/>
        <d v="1899-12-30T00:17:47"/>
        <d v="1899-12-30T00:12:00"/>
        <d v="1899-12-30T00:06:29"/>
        <d v="1899-12-30T00:15:59"/>
        <d v="1899-12-30T00:25:37"/>
        <d v="1899-12-30T00:00:55"/>
        <d v="1899-12-30T00:13:28"/>
        <d v="1899-12-30T00:03:07"/>
        <d v="1899-12-30T00:01:21"/>
        <d v="1899-12-30T00:00:41"/>
        <d v="1899-12-30T00:09:20"/>
        <d v="1899-12-30T00:01:14"/>
        <d v="1899-12-30T00:01:45"/>
        <d v="1899-12-30T00:01:41"/>
        <d v="1899-12-30T00:05:02"/>
        <d v="1899-12-30T00:03:22"/>
        <d v="1899-12-30T00:20:08"/>
        <d v="1899-12-30T00:32:15"/>
        <d v="1899-12-30T00:23:06"/>
        <d v="1899-12-30T00:22:51"/>
        <d v="1899-12-30T00:08:33"/>
        <d v="1899-12-30T00:15:07"/>
        <d v="1899-12-30T00:01:27"/>
        <d v="1899-12-30T00:02:27"/>
        <d v="1899-12-30T00:02:07"/>
        <d v="1899-12-30T00:03:48"/>
        <d v="1899-12-30T00:02:35"/>
        <d v="1899-12-30T00:00:24"/>
        <d v="1899-12-30T00:03:09"/>
        <d v="1899-12-30T00:02:04"/>
        <d v="1899-12-30T00:16:07"/>
        <d v="1899-12-30T00:31:42"/>
        <d v="1899-12-30T00:00:33"/>
        <d v="1899-12-30T00:01:47"/>
        <d v="1899-12-30T00:06:22"/>
        <d v="1899-12-30T00:08:17"/>
        <d v="1899-12-30T00:13:37"/>
        <d v="1899-12-30T00:03:10"/>
        <d v="1899-12-30T00:33:07"/>
        <d v="1899-12-30T00:06:36"/>
        <d v="1899-12-30T00:22:06"/>
        <d v="1899-12-30T00:28:38"/>
        <d v="1899-12-30T00:13:27"/>
        <d v="1899-12-30T00:32:01"/>
        <d v="1899-12-30T00:07:21"/>
        <d v="1899-12-30T00:03:39"/>
        <d v="1899-12-30T00:02:22"/>
        <d v="1899-12-30T00:12:27"/>
        <d v="1899-12-30T00:22:45"/>
        <d v="1899-12-30T00:14:02"/>
        <d v="1899-12-30T00:18:42"/>
        <d v="1899-12-30T00:07:06"/>
        <d v="1899-12-30T00:14:34"/>
        <d v="1899-12-30T00:03:19"/>
        <d v="1899-12-30T00:13:12"/>
        <d v="1899-12-30T00:01:42"/>
        <d v="1899-12-30T00:04:39"/>
        <d v="1899-12-30T00:06:18"/>
        <d v="1899-12-30T00:03:25"/>
        <d v="1899-12-30T00:01:55"/>
        <d v="1899-12-30T00:05:21"/>
        <d v="1899-12-30T00:24:33"/>
        <d v="1899-12-30T00:02:29"/>
        <d v="1899-12-30T00:00:49"/>
        <d v="1899-12-30T00:01:54"/>
        <d v="1899-12-30T00:11:45"/>
        <d v="1899-12-30T00:11:11"/>
        <d v="1899-12-30T00:10:04"/>
        <d v="1899-12-30T00:21:31"/>
        <d v="1899-12-30T00:00:56"/>
        <d v="1899-12-30T00:06:45"/>
        <d v="1899-12-30T00:25:49"/>
        <d v="1899-12-30T00:03:37"/>
        <d v="1899-12-30T00:04:54"/>
        <d v="1899-12-30T00:00:18"/>
        <d v="1899-12-30T00:10:34"/>
        <d v="1899-12-30T00:07:28"/>
        <d v="1899-12-30T00:03:01"/>
        <d v="1899-12-30T00:18:39"/>
        <d v="1899-12-30T00:02:44"/>
        <d v="1899-12-30T00:10:14"/>
        <d v="1899-12-30T00:12:46"/>
        <d v="1899-12-30T00:04:49"/>
        <d v="1899-12-30T00:14:44"/>
        <d v="1899-12-30T00:11:43"/>
        <d v="1899-12-30T00:06:42"/>
        <d v="1899-12-30T00:02:38"/>
        <d v="1899-12-30T00:12:07"/>
        <d v="1899-12-30T00:10:06"/>
        <d v="1899-12-30T00:08:11"/>
        <d v="1899-12-30T00:24:13"/>
        <d v="1899-12-30T00:33:06"/>
        <d v="1899-12-30T00:13:41"/>
        <d v="1899-12-30T00:21:32"/>
        <d v="1899-12-30T00:11:41"/>
        <d v="1899-12-30T00:03:06"/>
        <d v="1899-12-30T00:10:56"/>
        <d v="1899-12-30T00:24:43"/>
        <d v="1899-12-30T00:26:49"/>
        <d v="1899-12-30T00:03:18"/>
        <d v="1899-12-30T00:07:50"/>
        <d v="1899-12-30T00:16:15"/>
        <d v="1899-12-30T00:12:58"/>
        <d v="1899-12-30T00:12:10"/>
        <d v="1899-12-30T00:07:23"/>
        <d v="1899-12-30T00:02:26"/>
        <d v="1899-12-30T00:05:26"/>
        <d v="1899-12-30T00:07:16"/>
        <d v="1899-12-30T00:24:16"/>
        <d v="1899-12-30T00:06:02"/>
        <d v="1899-12-30T00:06:10"/>
        <d v="1899-12-30T00:29:37"/>
        <d v="1899-12-30T00:07:37"/>
        <d v="1899-12-30T00:06:21"/>
        <d v="1899-12-30T00:01:59"/>
        <d v="1899-12-30T00:27:19"/>
        <d v="1899-12-30T00:15:01"/>
        <d v="1899-12-30T00:06:34"/>
        <d v="1899-12-30T00:30:39"/>
        <d v="1899-12-30T00:23:42"/>
        <d v="1899-12-30T00:21:38"/>
        <d v="1899-12-30T00:11:29"/>
        <d v="1899-12-30T00:02:34"/>
        <d v="1899-12-30T00:09:36"/>
        <d v="1899-12-30T00:05:00"/>
        <d v="1899-12-30T00:17:34"/>
        <d v="1899-12-30T00:10:35"/>
        <d v="1899-12-30T00:12:48"/>
        <d v="1899-12-30T00:13:03"/>
        <d v="1899-12-30T00:03:32"/>
        <d v="1899-12-30T00:07:26"/>
        <d v="1899-12-30T00:02:59"/>
        <d v="1899-12-30T00:08:57"/>
        <d v="1899-12-30T00:03:27"/>
        <d v="1899-12-30T00:08:24"/>
        <d v="1899-12-30T00:10:07"/>
        <d v="1899-12-30T00:11:48"/>
        <d v="1899-12-30T00:28:33"/>
        <d v="1899-12-30T00:20:11"/>
        <d v="1899-12-30T00:11:36"/>
        <d v="1899-12-30T00:06:08"/>
        <d v="1899-12-30T00:14:38"/>
        <d v="1899-12-30T00:23:57"/>
        <d v="1899-12-30T00:01:03"/>
        <d v="1899-12-30T00:10:43"/>
        <d v="1899-12-30T00:07:53"/>
        <d v="1899-12-30T00:20:14"/>
        <d v="1899-12-30T00:01:24"/>
        <d v="1899-12-30T00:02:33"/>
        <d v="1899-12-30T00:13:13"/>
        <d v="1899-12-30T00:30:13"/>
        <d v="1899-12-30T00:12:14"/>
        <d v="1899-12-30T00:14:20"/>
        <d v="1899-12-30T00:09:56"/>
        <d v="1899-12-30T00:11:08"/>
        <d v="1899-12-30T00:00:25"/>
        <d v="1899-12-30T00:00:08"/>
        <d v="1899-12-30T00:32:22"/>
        <d v="1899-12-30T00:03:17"/>
        <d v="1899-12-30T00:23:02"/>
        <d v="1899-12-30T00:05:31"/>
        <d v="1899-12-30T00:04:22"/>
        <d v="1899-12-30T00:23:19"/>
        <d v="1899-12-30T00:04:14"/>
        <d v="1899-12-30T00:26:06"/>
        <d v="1899-12-30T00:07:29"/>
        <d v="1899-12-30T00:08:38"/>
        <d v="1899-12-30T00:08:28"/>
        <d v="1899-12-30T00:06:04"/>
        <d v="1899-12-30T00:26:02"/>
        <d v="1899-12-30T00:03:20"/>
        <d v="1899-12-30T00:18:11"/>
        <d v="1899-12-30T00:30:02"/>
        <d v="1899-12-30T00:08:00"/>
        <d v="1899-12-30T00:11:26"/>
        <d v="1899-12-30T00:28:18"/>
        <d v="1899-12-30T00:13:36"/>
        <d v="1899-12-30T00:24:25"/>
        <d v="1899-12-30T00:04:56"/>
        <d v="1899-12-30T00:06:06"/>
        <d v="1899-12-30T00:12:41"/>
        <d v="1899-12-30T00:49:32"/>
        <d v="1899-12-30T00:19:42"/>
        <d v="1899-12-30T00:04:50"/>
        <d v="1899-12-30T00:03:58"/>
        <d v="1899-12-30T00:12:02"/>
        <d v="1899-12-30T00:04:28"/>
        <d v="1899-12-30T00:04:09"/>
        <d v="1899-12-30T00:02:03"/>
        <d v="1899-12-30T00:16:00"/>
        <d v="1899-12-30T00:02:37"/>
        <d v="1899-12-30T00:01:20"/>
        <d v="1899-12-30T00:15:03"/>
        <d v="1899-12-30T00:01:13"/>
        <d v="1899-12-30T00:15:00"/>
        <d v="1899-12-30T00:09:45"/>
        <d v="1899-12-30T00:02:19"/>
        <d v="1899-12-30T00:07:44"/>
        <d v="1899-12-30T00:02:18"/>
        <d v="1899-12-30T00:02:11"/>
        <d v="1899-12-30T00:07:25"/>
        <d v="1899-12-30T00:08:14"/>
        <d v="1899-12-30T00:07:07"/>
        <d v="1899-12-30T00:27:48"/>
        <d v="1899-12-30T00:21:33"/>
        <d v="1899-12-30T00:00:22"/>
        <d v="1899-12-30T00:21:15"/>
        <d v="1899-12-30T00:05:56"/>
        <d v="1899-12-30T00:00:09"/>
        <d v="1899-12-30T00:00:14"/>
        <d v="1899-12-30T00:07:59"/>
        <d v="1899-12-30T00:08:10"/>
        <d v="1899-12-30T00:00:34"/>
        <d v="1899-12-30T00:23:41"/>
        <d v="1899-12-30T00:14:07"/>
        <d v="1899-12-30T00:07:48"/>
        <d v="1899-12-30T00:14:56"/>
        <d v="1899-12-30T00:26:56"/>
      </sharedItems>
    </cacheField>
    <cacheField name="avg_queue_time" numFmtId="0">
      <sharedItems containsSemiMixedTypes="0" containsString="0" containsNumber="1" containsInteger="1" minValue="10" maxValue="97"/>
    </cacheField>
    <cacheField name="Customer_satisfaction" numFmtId="0">
      <sharedItems containsSemiMixedTypes="0" containsString="0" containsNumber="1" containsInteger="1" minValue="5" maxValue="10"/>
    </cacheField>
  </cacheFields>
  <extLst>
    <ext xmlns:x14="http://schemas.microsoft.com/office/spreadsheetml/2009/9/main" uri="{725AE2AE-9491-48be-B2B4-4EB974FC3084}">
      <x14:pivotCacheDefinition pivotCacheId="14890191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
  <r>
    <n v="10"/>
    <x v="0"/>
    <s v="Lester De Mesa"/>
    <d v="2021-02-11T00:00:00"/>
    <x v="0"/>
    <x v="0"/>
    <x v="0"/>
    <n v="1"/>
    <x v="0"/>
    <x v="0"/>
    <n v="754"/>
    <x v="0"/>
    <n v="65"/>
    <n v="7"/>
  </r>
  <r>
    <n v="10"/>
    <x v="0"/>
    <s v="Lester De Mesa"/>
    <d v="2021-02-11T00:00:00"/>
    <x v="0"/>
    <x v="1"/>
    <x v="1"/>
    <n v="1"/>
    <x v="0"/>
    <x v="1"/>
    <n v="1325"/>
    <x v="1"/>
    <n v="44"/>
    <n v="8"/>
  </r>
  <r>
    <n v="4"/>
    <x v="1"/>
    <s v="Carol Mario"/>
    <d v="2020-02-10T00:00:00"/>
    <x v="1"/>
    <x v="2"/>
    <x v="2"/>
    <n v="2"/>
    <x v="1"/>
    <x v="2"/>
    <n v="545"/>
    <x v="2"/>
    <n v="57"/>
    <n v="7"/>
  </r>
  <r>
    <n v="2"/>
    <x v="2"/>
    <s v="Carol Mario"/>
    <d v="2019-08-10T00:00:00"/>
    <x v="2"/>
    <x v="3"/>
    <x v="0"/>
    <n v="3"/>
    <x v="2"/>
    <x v="3"/>
    <n v="86"/>
    <x v="3"/>
    <n v="21"/>
    <n v="10"/>
  </r>
  <r>
    <n v="9"/>
    <x v="3"/>
    <s v="Lester De Mesa"/>
    <d v="2021-01-30T00:00:00"/>
    <x v="3"/>
    <x v="4"/>
    <x v="3"/>
    <n v="3"/>
    <x v="2"/>
    <x v="4"/>
    <n v="266"/>
    <x v="4"/>
    <n v="15"/>
    <n v="9"/>
  </r>
  <r>
    <n v="3"/>
    <x v="4"/>
    <s v="Lester De Mesa"/>
    <d v="2019-09-19T00:00:00"/>
    <x v="4"/>
    <x v="5"/>
    <x v="4"/>
    <n v="1"/>
    <x v="0"/>
    <x v="5"/>
    <n v="1765"/>
    <x v="5"/>
    <n v="65"/>
    <n v="6"/>
  </r>
  <r>
    <n v="7"/>
    <x v="5"/>
    <s v="Carol Mario"/>
    <d v="2020-12-05T00:00:00"/>
    <x v="5"/>
    <x v="4"/>
    <x v="3"/>
    <n v="1"/>
    <x v="0"/>
    <x v="6"/>
    <n v="1728"/>
    <x v="6"/>
    <n v="88"/>
    <n v="6"/>
  </r>
  <r>
    <n v="2"/>
    <x v="2"/>
    <s v="Carol Mario"/>
    <d v="2019-08-10T00:00:00"/>
    <x v="2"/>
    <x v="6"/>
    <x v="2"/>
    <n v="2"/>
    <x v="1"/>
    <x v="3"/>
    <n v="598"/>
    <x v="7"/>
    <n v="41"/>
    <n v="9"/>
  </r>
  <r>
    <n v="4"/>
    <x v="1"/>
    <s v="Carol Mario"/>
    <d v="2020-02-10T00:00:00"/>
    <x v="1"/>
    <x v="7"/>
    <x v="1"/>
    <n v="2"/>
    <x v="1"/>
    <x v="7"/>
    <n v="75"/>
    <x v="8"/>
    <n v="78"/>
    <n v="6"/>
  </r>
  <r>
    <n v="9"/>
    <x v="3"/>
    <s v="Lester De Mesa"/>
    <d v="2021-01-30T00:00:00"/>
    <x v="3"/>
    <x v="8"/>
    <x v="4"/>
    <n v="3"/>
    <x v="2"/>
    <x v="8"/>
    <n v="180"/>
    <x v="9"/>
    <n v="52"/>
    <n v="7"/>
  </r>
  <r>
    <n v="2"/>
    <x v="2"/>
    <s v="Carol Mario"/>
    <d v="2019-08-10T00:00:00"/>
    <x v="2"/>
    <x v="9"/>
    <x v="4"/>
    <n v="1"/>
    <x v="0"/>
    <x v="9"/>
    <n v="639"/>
    <x v="10"/>
    <n v="55"/>
    <n v="7"/>
  </r>
  <r>
    <n v="6"/>
    <x v="6"/>
    <s v="Lester De Mesa"/>
    <d v="2020-10-12T00:00:00"/>
    <x v="6"/>
    <x v="8"/>
    <x v="4"/>
    <n v="3"/>
    <x v="2"/>
    <x v="7"/>
    <n v="57"/>
    <x v="11"/>
    <n v="16"/>
    <n v="9"/>
  </r>
  <r>
    <n v="4"/>
    <x v="1"/>
    <s v="Carol Mario"/>
    <d v="2020-02-10T00:00:00"/>
    <x v="1"/>
    <x v="10"/>
    <x v="0"/>
    <n v="3"/>
    <x v="2"/>
    <x v="10"/>
    <n v="456"/>
    <x v="12"/>
    <n v="71"/>
    <n v="6"/>
  </r>
  <r>
    <n v="6"/>
    <x v="6"/>
    <s v="Lester De Mesa"/>
    <d v="2020-10-12T00:00:00"/>
    <x v="6"/>
    <x v="11"/>
    <x v="5"/>
    <n v="3"/>
    <x v="2"/>
    <x v="11"/>
    <n v="367"/>
    <x v="13"/>
    <n v="23"/>
    <n v="10"/>
  </r>
  <r>
    <n v="6"/>
    <x v="6"/>
    <s v="Lester De Mesa"/>
    <d v="2020-10-12T00:00:00"/>
    <x v="6"/>
    <x v="3"/>
    <x v="0"/>
    <n v="1"/>
    <x v="0"/>
    <x v="12"/>
    <n v="1067"/>
    <x v="14"/>
    <n v="53"/>
    <n v="7"/>
  </r>
  <r>
    <n v="3"/>
    <x v="4"/>
    <s v="Lester De Mesa"/>
    <d v="2019-09-19T00:00:00"/>
    <x v="4"/>
    <x v="12"/>
    <x v="6"/>
    <n v="2"/>
    <x v="1"/>
    <x v="6"/>
    <n v="720"/>
    <x v="15"/>
    <n v="52"/>
    <n v="7"/>
  </r>
  <r>
    <n v="8"/>
    <x v="7"/>
    <s v="Carol Mario"/>
    <d v="2021-01-16T00:00:00"/>
    <x v="3"/>
    <x v="1"/>
    <x v="1"/>
    <n v="2"/>
    <x v="1"/>
    <x v="13"/>
    <n v="389"/>
    <x v="16"/>
    <n v="62"/>
    <n v="7"/>
  </r>
  <r>
    <n v="1"/>
    <x v="8"/>
    <s v="Carol Mario"/>
    <d v="2019-06-09T00:00:00"/>
    <x v="7"/>
    <x v="7"/>
    <x v="1"/>
    <n v="2"/>
    <x v="1"/>
    <x v="6"/>
    <n v="959"/>
    <x v="17"/>
    <n v="43"/>
    <n v="8"/>
  </r>
  <r>
    <n v="9"/>
    <x v="3"/>
    <s v="Lester De Mesa"/>
    <d v="2021-01-30T00:00:00"/>
    <x v="3"/>
    <x v="13"/>
    <x v="3"/>
    <n v="1"/>
    <x v="0"/>
    <x v="14"/>
    <n v="1537"/>
    <x v="18"/>
    <n v="58"/>
    <n v="7"/>
  </r>
  <r>
    <n v="2"/>
    <x v="2"/>
    <s v="Carol Mario"/>
    <d v="2019-08-10T00:00:00"/>
    <x v="2"/>
    <x v="14"/>
    <x v="6"/>
    <n v="2"/>
    <x v="1"/>
    <x v="15"/>
    <n v="55"/>
    <x v="19"/>
    <n v="74"/>
    <n v="6"/>
  </r>
  <r>
    <n v="9"/>
    <x v="3"/>
    <s v="Lester De Mesa"/>
    <d v="2021-01-30T00:00:00"/>
    <x v="3"/>
    <x v="15"/>
    <x v="2"/>
    <n v="2"/>
    <x v="1"/>
    <x v="16"/>
    <n v="808"/>
    <x v="20"/>
    <n v="13"/>
    <n v="10"/>
  </r>
  <r>
    <n v="5"/>
    <x v="9"/>
    <s v="Lester De Mesa"/>
    <d v="2020-05-15T00:00:00"/>
    <x v="8"/>
    <x v="16"/>
    <x v="6"/>
    <n v="3"/>
    <x v="2"/>
    <x v="17"/>
    <n v="187"/>
    <x v="21"/>
    <n v="69"/>
    <n v="7"/>
  </r>
  <r>
    <n v="6"/>
    <x v="6"/>
    <s v="Lester De Mesa"/>
    <d v="2020-10-12T00:00:00"/>
    <x v="6"/>
    <x v="17"/>
    <x v="3"/>
    <n v="2"/>
    <x v="1"/>
    <x v="12"/>
    <n v="81"/>
    <x v="22"/>
    <n v="70"/>
    <n v="6"/>
  </r>
  <r>
    <n v="6"/>
    <x v="6"/>
    <s v="Lester De Mesa"/>
    <d v="2020-10-12T00:00:00"/>
    <x v="6"/>
    <x v="18"/>
    <x v="4"/>
    <n v="2"/>
    <x v="1"/>
    <x v="12"/>
    <n v="41"/>
    <x v="23"/>
    <n v="27"/>
    <n v="10"/>
  </r>
  <r>
    <n v="2"/>
    <x v="2"/>
    <s v="Carol Mario"/>
    <d v="2019-08-10T00:00:00"/>
    <x v="2"/>
    <x v="17"/>
    <x v="3"/>
    <n v="1"/>
    <x v="0"/>
    <x v="9"/>
    <n v="560"/>
    <x v="24"/>
    <n v="39"/>
    <n v="8"/>
  </r>
  <r>
    <n v="9"/>
    <x v="3"/>
    <s v="Lester De Mesa"/>
    <d v="2021-01-30T00:00:00"/>
    <x v="3"/>
    <x v="19"/>
    <x v="5"/>
    <n v="3"/>
    <x v="2"/>
    <x v="8"/>
    <n v="74"/>
    <x v="25"/>
    <n v="79"/>
    <n v="6"/>
  </r>
  <r>
    <n v="9"/>
    <x v="3"/>
    <s v="Lester De Mesa"/>
    <d v="2021-01-30T00:00:00"/>
    <x v="3"/>
    <x v="20"/>
    <x v="1"/>
    <n v="3"/>
    <x v="2"/>
    <x v="4"/>
    <n v="105"/>
    <x v="26"/>
    <n v="56"/>
    <n v="7"/>
  </r>
  <r>
    <n v="10"/>
    <x v="0"/>
    <s v="Lester De Mesa"/>
    <d v="2021-02-11T00:00:00"/>
    <x v="0"/>
    <x v="2"/>
    <x v="2"/>
    <n v="2"/>
    <x v="1"/>
    <x v="1"/>
    <n v="101"/>
    <x v="27"/>
    <n v="10"/>
    <n v="10"/>
  </r>
  <r>
    <n v="7"/>
    <x v="5"/>
    <s v="Carol Mario"/>
    <d v="2020-12-05T00:00:00"/>
    <x v="5"/>
    <x v="16"/>
    <x v="6"/>
    <n v="2"/>
    <x v="1"/>
    <x v="18"/>
    <n v="302"/>
    <x v="28"/>
    <n v="59"/>
    <n v="7"/>
  </r>
  <r>
    <n v="10"/>
    <x v="0"/>
    <s v="Lester De Mesa"/>
    <d v="2021-02-11T00:00:00"/>
    <x v="0"/>
    <x v="13"/>
    <x v="3"/>
    <n v="2"/>
    <x v="1"/>
    <x v="19"/>
    <n v="202"/>
    <x v="29"/>
    <n v="37"/>
    <n v="8"/>
  </r>
  <r>
    <n v="3"/>
    <x v="4"/>
    <s v="Lester De Mesa"/>
    <d v="2019-09-19T00:00:00"/>
    <x v="4"/>
    <x v="13"/>
    <x v="3"/>
    <n v="1"/>
    <x v="0"/>
    <x v="5"/>
    <n v="1208"/>
    <x v="30"/>
    <n v="75"/>
    <n v="6"/>
  </r>
  <r>
    <n v="3"/>
    <x v="4"/>
    <s v="Lester De Mesa"/>
    <d v="2019-09-19T00:00:00"/>
    <x v="4"/>
    <x v="2"/>
    <x v="2"/>
    <n v="1"/>
    <x v="0"/>
    <x v="2"/>
    <n v="1935"/>
    <x v="31"/>
    <n v="86"/>
    <n v="6"/>
  </r>
  <r>
    <n v="10"/>
    <x v="0"/>
    <s v="Lester De Mesa"/>
    <d v="2021-02-11T00:00:00"/>
    <x v="0"/>
    <x v="6"/>
    <x v="2"/>
    <n v="1"/>
    <x v="0"/>
    <x v="20"/>
    <n v="1386"/>
    <x v="32"/>
    <n v="24"/>
    <n v="9"/>
  </r>
  <r>
    <n v="7"/>
    <x v="5"/>
    <s v="Carol Mario"/>
    <d v="2020-12-05T00:00:00"/>
    <x v="5"/>
    <x v="1"/>
    <x v="1"/>
    <n v="1"/>
    <x v="0"/>
    <x v="21"/>
    <n v="1371"/>
    <x v="33"/>
    <n v="76"/>
    <n v="6"/>
  </r>
  <r>
    <n v="9"/>
    <x v="3"/>
    <s v="Lester De Mesa"/>
    <d v="2021-01-30T00:00:00"/>
    <x v="3"/>
    <x v="18"/>
    <x v="4"/>
    <n v="2"/>
    <x v="1"/>
    <x v="19"/>
    <n v="513"/>
    <x v="34"/>
    <n v="31"/>
    <n v="8"/>
  </r>
  <r>
    <n v="1"/>
    <x v="8"/>
    <s v="Carol Mario"/>
    <d v="2019-06-09T00:00:00"/>
    <x v="7"/>
    <x v="16"/>
    <x v="6"/>
    <n v="2"/>
    <x v="1"/>
    <x v="22"/>
    <n v="907"/>
    <x v="35"/>
    <n v="53"/>
    <n v="7"/>
  </r>
  <r>
    <n v="4"/>
    <x v="1"/>
    <s v="Carol Mario"/>
    <d v="2020-02-10T00:00:00"/>
    <x v="1"/>
    <x v="12"/>
    <x v="6"/>
    <n v="3"/>
    <x v="2"/>
    <x v="18"/>
    <n v="87"/>
    <x v="36"/>
    <n v="30"/>
    <n v="8"/>
  </r>
  <r>
    <n v="9"/>
    <x v="3"/>
    <s v="Lester De Mesa"/>
    <d v="2021-01-30T00:00:00"/>
    <x v="3"/>
    <x v="5"/>
    <x v="4"/>
    <n v="1"/>
    <x v="0"/>
    <x v="23"/>
    <n v="147"/>
    <x v="37"/>
    <n v="29"/>
    <n v="10"/>
  </r>
  <r>
    <n v="6"/>
    <x v="6"/>
    <s v="Lester De Mesa"/>
    <d v="2020-10-12T00:00:00"/>
    <x v="6"/>
    <x v="9"/>
    <x v="4"/>
    <n v="2"/>
    <x v="1"/>
    <x v="24"/>
    <n v="127"/>
    <x v="38"/>
    <n v="63"/>
    <n v="7"/>
  </r>
  <r>
    <n v="4"/>
    <x v="1"/>
    <s v="Carol Mario"/>
    <d v="2020-02-10T00:00:00"/>
    <x v="1"/>
    <x v="21"/>
    <x v="5"/>
    <n v="3"/>
    <x v="2"/>
    <x v="5"/>
    <n v="228"/>
    <x v="39"/>
    <n v="87"/>
    <n v="6"/>
  </r>
  <r>
    <n v="8"/>
    <x v="7"/>
    <s v="Carol Mario"/>
    <d v="2021-01-16T00:00:00"/>
    <x v="3"/>
    <x v="2"/>
    <x v="2"/>
    <n v="3"/>
    <x v="2"/>
    <x v="15"/>
    <n v="155"/>
    <x v="40"/>
    <n v="67"/>
    <n v="7"/>
  </r>
  <r>
    <n v="7"/>
    <x v="5"/>
    <s v="Carol Mario"/>
    <d v="2020-12-05T00:00:00"/>
    <x v="5"/>
    <x v="9"/>
    <x v="4"/>
    <n v="3"/>
    <x v="2"/>
    <x v="20"/>
    <n v="24"/>
    <x v="41"/>
    <n v="43"/>
    <n v="8"/>
  </r>
  <r>
    <n v="6"/>
    <x v="6"/>
    <s v="Lester De Mesa"/>
    <d v="2020-10-12T00:00:00"/>
    <x v="6"/>
    <x v="6"/>
    <x v="2"/>
    <n v="3"/>
    <x v="2"/>
    <x v="11"/>
    <n v="101"/>
    <x v="27"/>
    <n v="27"/>
    <n v="8"/>
  </r>
  <r>
    <n v="3"/>
    <x v="4"/>
    <s v="Lester De Mesa"/>
    <d v="2019-09-19T00:00:00"/>
    <x v="4"/>
    <x v="0"/>
    <x v="0"/>
    <n v="3"/>
    <x v="2"/>
    <x v="25"/>
    <n v="189"/>
    <x v="42"/>
    <n v="38"/>
    <n v="8"/>
  </r>
  <r>
    <n v="8"/>
    <x v="7"/>
    <s v="Carol Mario"/>
    <d v="2021-01-16T00:00:00"/>
    <x v="3"/>
    <x v="6"/>
    <x v="2"/>
    <n v="2"/>
    <x v="1"/>
    <x v="22"/>
    <n v="124"/>
    <x v="43"/>
    <n v="24"/>
    <n v="9"/>
  </r>
  <r>
    <n v="8"/>
    <x v="7"/>
    <s v="Carol Mario"/>
    <d v="2021-01-16T00:00:00"/>
    <x v="3"/>
    <x v="12"/>
    <x v="6"/>
    <n v="1"/>
    <x v="0"/>
    <x v="18"/>
    <n v="967"/>
    <x v="44"/>
    <n v="89"/>
    <n v="5"/>
  </r>
  <r>
    <n v="3"/>
    <x v="4"/>
    <s v="Lester De Mesa"/>
    <d v="2019-09-19T00:00:00"/>
    <x v="4"/>
    <x v="22"/>
    <x v="5"/>
    <n v="1"/>
    <x v="0"/>
    <x v="26"/>
    <n v="1902"/>
    <x v="45"/>
    <n v="77"/>
    <n v="6"/>
  </r>
  <r>
    <n v="4"/>
    <x v="1"/>
    <s v="Carol Mario"/>
    <d v="2020-02-10T00:00:00"/>
    <x v="1"/>
    <x v="22"/>
    <x v="5"/>
    <n v="2"/>
    <x v="1"/>
    <x v="27"/>
    <n v="33"/>
    <x v="46"/>
    <n v="26"/>
    <n v="10"/>
  </r>
  <r>
    <n v="7"/>
    <x v="5"/>
    <s v="Carol Mario"/>
    <d v="2020-12-05T00:00:00"/>
    <x v="5"/>
    <x v="12"/>
    <x v="6"/>
    <n v="3"/>
    <x v="2"/>
    <x v="24"/>
    <n v="107"/>
    <x v="47"/>
    <n v="53"/>
    <n v="7"/>
  </r>
  <r>
    <n v="6"/>
    <x v="6"/>
    <s v="Lester De Mesa"/>
    <d v="2020-10-12T00:00:00"/>
    <x v="6"/>
    <x v="14"/>
    <x v="6"/>
    <n v="3"/>
    <x v="2"/>
    <x v="0"/>
    <n v="382"/>
    <x v="48"/>
    <n v="96"/>
    <n v="5"/>
  </r>
  <r>
    <n v="7"/>
    <x v="5"/>
    <s v="Carol Mario"/>
    <d v="2020-12-05T00:00:00"/>
    <x v="5"/>
    <x v="2"/>
    <x v="2"/>
    <n v="2"/>
    <x v="1"/>
    <x v="6"/>
    <n v="497"/>
    <x v="49"/>
    <n v="68"/>
    <n v="6"/>
  </r>
  <r>
    <n v="4"/>
    <x v="1"/>
    <s v="Carol Mario"/>
    <d v="2020-02-10T00:00:00"/>
    <x v="1"/>
    <x v="0"/>
    <x v="0"/>
    <n v="1"/>
    <x v="0"/>
    <x v="27"/>
    <n v="817"/>
    <x v="50"/>
    <n v="40"/>
    <n v="8"/>
  </r>
  <r>
    <n v="8"/>
    <x v="7"/>
    <s v="Carol Mario"/>
    <d v="2021-01-16T00:00:00"/>
    <x v="3"/>
    <x v="7"/>
    <x v="1"/>
    <n v="3"/>
    <x v="2"/>
    <x v="22"/>
    <n v="190"/>
    <x v="51"/>
    <n v="70"/>
    <n v="7"/>
  </r>
  <r>
    <n v="1"/>
    <x v="8"/>
    <s v="Carol Mario"/>
    <d v="2019-06-09T00:00:00"/>
    <x v="7"/>
    <x v="4"/>
    <x v="3"/>
    <n v="1"/>
    <x v="0"/>
    <x v="28"/>
    <n v="1987"/>
    <x v="52"/>
    <n v="38"/>
    <n v="9"/>
  </r>
  <r>
    <n v="4"/>
    <x v="1"/>
    <s v="Carol Mario"/>
    <d v="2020-02-10T00:00:00"/>
    <x v="1"/>
    <x v="1"/>
    <x v="1"/>
    <n v="1"/>
    <x v="0"/>
    <x v="13"/>
    <n v="396"/>
    <x v="53"/>
    <n v="97"/>
    <n v="5"/>
  </r>
  <r>
    <n v="5"/>
    <x v="9"/>
    <s v="Lester De Mesa"/>
    <d v="2020-05-15T00:00:00"/>
    <x v="8"/>
    <x v="23"/>
    <x v="1"/>
    <n v="1"/>
    <x v="0"/>
    <x v="24"/>
    <n v="1326"/>
    <x v="54"/>
    <n v="25"/>
    <n v="8"/>
  </r>
  <r>
    <n v="5"/>
    <x v="9"/>
    <s v="Lester De Mesa"/>
    <d v="2020-05-15T00:00:00"/>
    <x v="8"/>
    <x v="21"/>
    <x v="5"/>
    <n v="1"/>
    <x v="0"/>
    <x v="11"/>
    <n v="1718"/>
    <x v="55"/>
    <n v="78"/>
    <n v="6"/>
  </r>
  <r>
    <n v="3"/>
    <x v="4"/>
    <s v="Lester De Mesa"/>
    <d v="2019-09-19T00:00:00"/>
    <x v="4"/>
    <x v="1"/>
    <x v="1"/>
    <n v="3"/>
    <x v="2"/>
    <x v="18"/>
    <n v="807"/>
    <x v="56"/>
    <n v="74"/>
    <n v="6"/>
  </r>
  <r>
    <n v="3"/>
    <x v="4"/>
    <s v="Lester De Mesa"/>
    <d v="2019-09-19T00:00:00"/>
    <x v="4"/>
    <x v="24"/>
    <x v="6"/>
    <n v="1"/>
    <x v="0"/>
    <x v="22"/>
    <n v="1921"/>
    <x v="57"/>
    <n v="84"/>
    <n v="6"/>
  </r>
  <r>
    <n v="8"/>
    <x v="7"/>
    <s v="Carol Mario"/>
    <d v="2021-01-16T00:00:00"/>
    <x v="3"/>
    <x v="16"/>
    <x v="6"/>
    <n v="3"/>
    <x v="2"/>
    <x v="21"/>
    <n v="441"/>
    <x v="58"/>
    <n v="53"/>
    <n v="7"/>
  </r>
  <r>
    <n v="2"/>
    <x v="2"/>
    <s v="Carol Mario"/>
    <d v="2019-08-10T00:00:00"/>
    <x v="2"/>
    <x v="25"/>
    <x v="0"/>
    <n v="1"/>
    <x v="0"/>
    <x v="29"/>
    <n v="219"/>
    <x v="59"/>
    <n v="45"/>
    <n v="8"/>
  </r>
  <r>
    <n v="6"/>
    <x v="6"/>
    <s v="Lester De Mesa"/>
    <d v="2020-10-12T00:00:00"/>
    <x v="6"/>
    <x v="4"/>
    <x v="3"/>
    <n v="3"/>
    <x v="2"/>
    <x v="24"/>
    <n v="142"/>
    <x v="60"/>
    <n v="89"/>
    <n v="6"/>
  </r>
  <r>
    <n v="6"/>
    <x v="6"/>
    <s v="Lester De Mesa"/>
    <d v="2020-10-12T00:00:00"/>
    <x v="6"/>
    <x v="26"/>
    <x v="2"/>
    <n v="1"/>
    <x v="0"/>
    <x v="25"/>
    <n v="747"/>
    <x v="61"/>
    <n v="13"/>
    <n v="10"/>
  </r>
  <r>
    <n v="8"/>
    <x v="7"/>
    <s v="Carol Mario"/>
    <d v="2021-01-16T00:00:00"/>
    <x v="3"/>
    <x v="15"/>
    <x v="2"/>
    <n v="1"/>
    <x v="0"/>
    <x v="22"/>
    <n v="1365"/>
    <x v="62"/>
    <n v="23"/>
    <n v="9"/>
  </r>
  <r>
    <n v="8"/>
    <x v="7"/>
    <s v="Carol Mario"/>
    <d v="2021-01-16T00:00:00"/>
    <x v="3"/>
    <x v="9"/>
    <x v="4"/>
    <n v="1"/>
    <x v="0"/>
    <x v="21"/>
    <n v="842"/>
    <x v="63"/>
    <n v="66"/>
    <n v="6"/>
  </r>
  <r>
    <n v="6"/>
    <x v="6"/>
    <s v="Lester De Mesa"/>
    <d v="2020-10-12T00:00:00"/>
    <x v="6"/>
    <x v="16"/>
    <x v="6"/>
    <n v="1"/>
    <x v="0"/>
    <x v="24"/>
    <n v="1122"/>
    <x v="64"/>
    <n v="88"/>
    <n v="5"/>
  </r>
  <r>
    <n v="10"/>
    <x v="0"/>
    <s v="Lester De Mesa"/>
    <d v="2021-02-11T00:00:00"/>
    <x v="0"/>
    <x v="10"/>
    <x v="0"/>
    <n v="3"/>
    <x v="2"/>
    <x v="16"/>
    <n v="426"/>
    <x v="65"/>
    <n v="71"/>
    <n v="6"/>
  </r>
  <r>
    <n v="1"/>
    <x v="8"/>
    <s v="Carol Mario"/>
    <d v="2019-06-09T00:00:00"/>
    <x v="7"/>
    <x v="15"/>
    <x v="2"/>
    <n v="3"/>
    <x v="2"/>
    <x v="27"/>
    <n v="874"/>
    <x v="66"/>
    <n v="42"/>
    <n v="9"/>
  </r>
  <r>
    <n v="4"/>
    <x v="1"/>
    <s v="Carol Mario"/>
    <d v="2020-02-10T00:00:00"/>
    <x v="1"/>
    <x v="23"/>
    <x v="1"/>
    <n v="3"/>
    <x v="2"/>
    <x v="15"/>
    <n v="199"/>
    <x v="67"/>
    <n v="83"/>
    <n v="6"/>
  </r>
  <r>
    <n v="3"/>
    <x v="4"/>
    <s v="Lester De Mesa"/>
    <d v="2019-09-19T00:00:00"/>
    <x v="4"/>
    <x v="23"/>
    <x v="1"/>
    <n v="2"/>
    <x v="1"/>
    <x v="24"/>
    <n v="792"/>
    <x v="68"/>
    <n v="59"/>
    <n v="7"/>
  </r>
  <r>
    <n v="7"/>
    <x v="5"/>
    <s v="Carol Mario"/>
    <d v="2020-12-05T00:00:00"/>
    <x v="5"/>
    <x v="17"/>
    <x v="3"/>
    <n v="3"/>
    <x v="2"/>
    <x v="0"/>
    <n v="102"/>
    <x v="69"/>
    <n v="30"/>
    <n v="8"/>
  </r>
  <r>
    <n v="5"/>
    <x v="9"/>
    <s v="Lester De Mesa"/>
    <d v="2020-05-15T00:00:00"/>
    <x v="8"/>
    <x v="6"/>
    <x v="2"/>
    <n v="2"/>
    <x v="1"/>
    <x v="7"/>
    <n v="279"/>
    <x v="70"/>
    <n v="23"/>
    <n v="9"/>
  </r>
  <r>
    <n v="8"/>
    <x v="7"/>
    <s v="Carol Mario"/>
    <d v="2021-01-16T00:00:00"/>
    <x v="3"/>
    <x v="3"/>
    <x v="0"/>
    <n v="3"/>
    <x v="2"/>
    <x v="0"/>
    <n v="378"/>
    <x v="71"/>
    <n v="86"/>
    <n v="6"/>
  </r>
  <r>
    <n v="6"/>
    <x v="6"/>
    <s v="Lester De Mesa"/>
    <d v="2020-10-12T00:00:00"/>
    <x v="6"/>
    <x v="19"/>
    <x v="5"/>
    <n v="3"/>
    <x v="2"/>
    <x v="17"/>
    <n v="205"/>
    <x v="72"/>
    <n v="79"/>
    <n v="6"/>
  </r>
  <r>
    <n v="1"/>
    <x v="8"/>
    <s v="Carol Mario"/>
    <d v="2019-06-09T00:00:00"/>
    <x v="7"/>
    <x v="5"/>
    <x v="4"/>
    <n v="2"/>
    <x v="1"/>
    <x v="30"/>
    <n v="115"/>
    <x v="73"/>
    <n v="28"/>
    <n v="8"/>
  </r>
  <r>
    <n v="3"/>
    <x v="4"/>
    <s v="Lester De Mesa"/>
    <d v="2019-09-19T00:00:00"/>
    <x v="4"/>
    <x v="6"/>
    <x v="2"/>
    <n v="3"/>
    <x v="2"/>
    <x v="12"/>
    <n v="321"/>
    <x v="74"/>
    <n v="38"/>
    <n v="9"/>
  </r>
  <r>
    <n v="5"/>
    <x v="9"/>
    <s v="Lester De Mesa"/>
    <d v="2020-05-15T00:00:00"/>
    <x v="8"/>
    <x v="9"/>
    <x v="4"/>
    <n v="1"/>
    <x v="0"/>
    <x v="25"/>
    <n v="1473"/>
    <x v="75"/>
    <n v="17"/>
    <n v="9"/>
  </r>
  <r>
    <n v="9"/>
    <x v="3"/>
    <s v="Lester De Mesa"/>
    <d v="2021-01-30T00:00:00"/>
    <x v="3"/>
    <x v="0"/>
    <x v="0"/>
    <n v="3"/>
    <x v="2"/>
    <x v="31"/>
    <n v="149"/>
    <x v="76"/>
    <n v="10"/>
    <n v="10"/>
  </r>
  <r>
    <n v="2"/>
    <x v="2"/>
    <s v="Carol Mario"/>
    <d v="2019-08-10T00:00:00"/>
    <x v="2"/>
    <x v="20"/>
    <x v="1"/>
    <n v="2"/>
    <x v="1"/>
    <x v="7"/>
    <n v="180"/>
    <x v="9"/>
    <n v="45"/>
    <n v="8"/>
  </r>
  <r>
    <n v="2"/>
    <x v="2"/>
    <s v="Carol Mario"/>
    <d v="2019-08-10T00:00:00"/>
    <x v="2"/>
    <x v="2"/>
    <x v="2"/>
    <n v="3"/>
    <x v="2"/>
    <x v="30"/>
    <n v="49"/>
    <x v="77"/>
    <n v="33"/>
    <n v="8"/>
  </r>
  <r>
    <n v="8"/>
    <x v="7"/>
    <s v="Carol Mario"/>
    <d v="2021-01-16T00:00:00"/>
    <x v="3"/>
    <x v="18"/>
    <x v="4"/>
    <n v="1"/>
    <x v="0"/>
    <x v="17"/>
    <n v="114"/>
    <x v="78"/>
    <n v="32"/>
    <n v="8"/>
  </r>
  <r>
    <n v="4"/>
    <x v="1"/>
    <s v="Carol Mario"/>
    <d v="2020-02-10T00:00:00"/>
    <x v="1"/>
    <x v="8"/>
    <x v="4"/>
    <n v="1"/>
    <x v="0"/>
    <x v="32"/>
    <n v="705"/>
    <x v="79"/>
    <n v="13"/>
    <n v="10"/>
  </r>
  <r>
    <n v="4"/>
    <x v="1"/>
    <s v="Carol Mario"/>
    <d v="2020-02-10T00:00:00"/>
    <x v="1"/>
    <x v="20"/>
    <x v="1"/>
    <n v="1"/>
    <x v="0"/>
    <x v="6"/>
    <n v="671"/>
    <x v="80"/>
    <n v="90"/>
    <n v="6"/>
  </r>
  <r>
    <n v="6"/>
    <x v="6"/>
    <s v="Lester De Mesa"/>
    <d v="2020-10-12T00:00:00"/>
    <x v="6"/>
    <x v="2"/>
    <x v="2"/>
    <n v="1"/>
    <x v="0"/>
    <x v="33"/>
    <n v="604"/>
    <x v="81"/>
    <n v="62"/>
    <n v="7"/>
  </r>
  <r>
    <n v="7"/>
    <x v="5"/>
    <s v="Carol Mario"/>
    <d v="2020-12-05T00:00:00"/>
    <x v="5"/>
    <x v="19"/>
    <x v="5"/>
    <n v="1"/>
    <x v="0"/>
    <x v="6"/>
    <n v="1291"/>
    <x v="82"/>
    <n v="68"/>
    <n v="6"/>
  </r>
  <r>
    <n v="8"/>
    <x v="7"/>
    <s v="Carol Mario"/>
    <d v="2021-01-16T00:00:00"/>
    <x v="3"/>
    <x v="5"/>
    <x v="4"/>
    <n v="3"/>
    <x v="2"/>
    <x v="0"/>
    <n v="56"/>
    <x v="83"/>
    <n v="70"/>
    <n v="7"/>
  </r>
  <r>
    <n v="8"/>
    <x v="7"/>
    <s v="Carol Mario"/>
    <d v="2021-01-16T00:00:00"/>
    <x v="3"/>
    <x v="8"/>
    <x v="4"/>
    <n v="2"/>
    <x v="1"/>
    <x v="13"/>
    <n v="405"/>
    <x v="84"/>
    <n v="66"/>
    <n v="7"/>
  </r>
  <r>
    <n v="9"/>
    <x v="3"/>
    <s v="Lester De Mesa"/>
    <d v="2021-01-30T00:00:00"/>
    <x v="3"/>
    <x v="16"/>
    <x v="6"/>
    <n v="1"/>
    <x v="0"/>
    <x v="1"/>
    <n v="1549"/>
    <x v="85"/>
    <n v="85"/>
    <n v="5"/>
  </r>
  <r>
    <n v="3"/>
    <x v="4"/>
    <s v="Lester De Mesa"/>
    <d v="2019-09-19T00:00:00"/>
    <x v="4"/>
    <x v="8"/>
    <x v="4"/>
    <n v="3"/>
    <x v="2"/>
    <x v="25"/>
    <n v="217"/>
    <x v="86"/>
    <n v="28"/>
    <n v="10"/>
  </r>
  <r>
    <n v="6"/>
    <x v="6"/>
    <s v="Lester De Mesa"/>
    <d v="2020-10-12T00:00:00"/>
    <x v="6"/>
    <x v="10"/>
    <x v="0"/>
    <n v="2"/>
    <x v="1"/>
    <x v="12"/>
    <n v="294"/>
    <x v="87"/>
    <n v="67"/>
    <n v="7"/>
  </r>
  <r>
    <n v="4"/>
    <x v="1"/>
    <s v="Carol Mario"/>
    <d v="2020-02-10T00:00:00"/>
    <x v="1"/>
    <x v="15"/>
    <x v="2"/>
    <n v="3"/>
    <x v="2"/>
    <x v="26"/>
    <n v="18"/>
    <x v="88"/>
    <n v="15"/>
    <n v="10"/>
  </r>
  <r>
    <n v="7"/>
    <x v="5"/>
    <s v="Carol Mario"/>
    <d v="2020-12-05T00:00:00"/>
    <x v="5"/>
    <x v="13"/>
    <x v="3"/>
    <n v="2"/>
    <x v="1"/>
    <x v="13"/>
    <n v="634"/>
    <x v="89"/>
    <n v="68"/>
    <n v="6"/>
  </r>
  <r>
    <n v="4"/>
    <x v="1"/>
    <s v="Carol Mario"/>
    <d v="2020-02-10T00:00:00"/>
    <x v="1"/>
    <x v="14"/>
    <x v="6"/>
    <n v="1"/>
    <x v="0"/>
    <x v="18"/>
    <n v="448"/>
    <x v="90"/>
    <n v="79"/>
    <n v="5"/>
  </r>
  <r>
    <n v="9"/>
    <x v="3"/>
    <s v="Lester De Mesa"/>
    <d v="2021-01-30T00:00:00"/>
    <x v="3"/>
    <x v="24"/>
    <x v="6"/>
    <n v="1"/>
    <x v="0"/>
    <x v="14"/>
    <n v="181"/>
    <x v="91"/>
    <n v="33"/>
    <n v="8"/>
  </r>
  <r>
    <n v="1"/>
    <x v="8"/>
    <s v="Carol Mario"/>
    <d v="2019-06-09T00:00:00"/>
    <x v="7"/>
    <x v="25"/>
    <x v="0"/>
    <n v="3"/>
    <x v="2"/>
    <x v="32"/>
    <n v="1119"/>
    <x v="92"/>
    <n v="69"/>
    <n v="6"/>
  </r>
  <r>
    <n v="10"/>
    <x v="0"/>
    <s v="Lester De Mesa"/>
    <d v="2021-02-11T00:00:00"/>
    <x v="0"/>
    <x v="17"/>
    <x v="3"/>
    <n v="3"/>
    <x v="2"/>
    <x v="19"/>
    <n v="164"/>
    <x v="93"/>
    <n v="30"/>
    <n v="10"/>
  </r>
  <r>
    <n v="3"/>
    <x v="4"/>
    <s v="Lester De Mesa"/>
    <d v="2019-09-19T00:00:00"/>
    <x v="4"/>
    <x v="20"/>
    <x v="1"/>
    <n v="3"/>
    <x v="2"/>
    <x v="21"/>
    <n v="614"/>
    <x v="94"/>
    <n v="86"/>
    <n v="6"/>
  </r>
  <r>
    <n v="3"/>
    <x v="4"/>
    <s v="Lester De Mesa"/>
    <d v="2019-09-19T00:00:00"/>
    <x v="4"/>
    <x v="4"/>
    <x v="3"/>
    <n v="3"/>
    <x v="2"/>
    <x v="25"/>
    <n v="766"/>
    <x v="95"/>
    <n v="61"/>
    <n v="7"/>
  </r>
  <r>
    <n v="5"/>
    <x v="9"/>
    <s v="Lester De Mesa"/>
    <d v="2020-05-15T00:00:00"/>
    <x v="8"/>
    <x v="20"/>
    <x v="1"/>
    <n v="2"/>
    <x v="1"/>
    <x v="15"/>
    <n v="289"/>
    <x v="96"/>
    <n v="55"/>
    <n v="7"/>
  </r>
  <r>
    <n v="6"/>
    <x v="6"/>
    <s v="Lester De Mesa"/>
    <d v="2020-10-12T00:00:00"/>
    <x v="6"/>
    <x v="24"/>
    <x v="6"/>
    <n v="1"/>
    <x v="0"/>
    <x v="24"/>
    <n v="884"/>
    <x v="97"/>
    <n v="43"/>
    <n v="8"/>
  </r>
  <r>
    <n v="3"/>
    <x v="4"/>
    <s v="Lester De Mesa"/>
    <d v="2019-09-19T00:00:00"/>
    <x v="4"/>
    <x v="14"/>
    <x v="6"/>
    <n v="3"/>
    <x v="2"/>
    <x v="24"/>
    <n v="703"/>
    <x v="98"/>
    <n v="86"/>
    <n v="5"/>
  </r>
  <r>
    <n v="8"/>
    <x v="7"/>
    <s v="Carol Mario"/>
    <d v="2021-01-16T00:00:00"/>
    <x v="3"/>
    <x v="26"/>
    <x v="2"/>
    <n v="3"/>
    <x v="2"/>
    <x v="6"/>
    <n v="402"/>
    <x v="99"/>
    <n v="63"/>
    <n v="7"/>
  </r>
  <r>
    <n v="4"/>
    <x v="1"/>
    <s v="Carol Mario"/>
    <d v="2020-02-10T00:00:00"/>
    <x v="1"/>
    <x v="5"/>
    <x v="4"/>
    <n v="2"/>
    <x v="1"/>
    <x v="2"/>
    <n v="158"/>
    <x v="100"/>
    <n v="36"/>
    <n v="8"/>
  </r>
  <r>
    <n v="3"/>
    <x v="4"/>
    <s v="Lester De Mesa"/>
    <d v="2019-09-19T00:00:00"/>
    <x v="4"/>
    <x v="17"/>
    <x v="3"/>
    <n v="2"/>
    <x v="1"/>
    <x v="2"/>
    <n v="727"/>
    <x v="101"/>
    <n v="30"/>
    <n v="10"/>
  </r>
  <r>
    <n v="8"/>
    <x v="7"/>
    <s v="Carol Mario"/>
    <d v="2021-01-16T00:00:00"/>
    <x v="3"/>
    <x v="11"/>
    <x v="5"/>
    <n v="2"/>
    <x v="1"/>
    <x v="21"/>
    <n v="606"/>
    <x v="102"/>
    <n v="22"/>
    <n v="10"/>
  </r>
  <r>
    <n v="7"/>
    <x v="5"/>
    <s v="Carol Mario"/>
    <d v="2020-12-05T00:00:00"/>
    <x v="5"/>
    <x v="21"/>
    <x v="5"/>
    <n v="3"/>
    <x v="2"/>
    <x v="0"/>
    <n v="491"/>
    <x v="103"/>
    <n v="72"/>
    <n v="6"/>
  </r>
  <r>
    <n v="7"/>
    <x v="5"/>
    <s v="Carol Mario"/>
    <d v="2020-12-05T00:00:00"/>
    <x v="5"/>
    <x v="20"/>
    <x v="1"/>
    <n v="1"/>
    <x v="0"/>
    <x v="21"/>
    <n v="1453"/>
    <x v="104"/>
    <n v="44"/>
    <n v="8"/>
  </r>
  <r>
    <n v="1"/>
    <x v="8"/>
    <s v="Carol Mario"/>
    <d v="2019-06-09T00:00:00"/>
    <x v="7"/>
    <x v="3"/>
    <x v="0"/>
    <n v="2"/>
    <x v="1"/>
    <x v="32"/>
    <n v="1986"/>
    <x v="105"/>
    <n v="11"/>
    <n v="10"/>
  </r>
  <r>
    <n v="1"/>
    <x v="8"/>
    <s v="Carol Mario"/>
    <d v="2019-06-09T00:00:00"/>
    <x v="7"/>
    <x v="10"/>
    <x v="0"/>
    <n v="3"/>
    <x v="2"/>
    <x v="34"/>
    <n v="821"/>
    <x v="106"/>
    <n v="83"/>
    <n v="6"/>
  </r>
  <r>
    <n v="9"/>
    <x v="3"/>
    <s v="Lester De Mesa"/>
    <d v="2021-01-30T00:00:00"/>
    <x v="3"/>
    <x v="26"/>
    <x v="2"/>
    <n v="1"/>
    <x v="0"/>
    <x v="23"/>
    <n v="1292"/>
    <x v="107"/>
    <n v="45"/>
    <n v="8"/>
  </r>
  <r>
    <n v="10"/>
    <x v="0"/>
    <s v="Lester De Mesa"/>
    <d v="2021-02-11T00:00:00"/>
    <x v="0"/>
    <x v="16"/>
    <x v="6"/>
    <n v="2"/>
    <x v="1"/>
    <x v="1"/>
    <n v="701"/>
    <x v="108"/>
    <n v="69"/>
    <n v="7"/>
  </r>
  <r>
    <n v="2"/>
    <x v="2"/>
    <s v="Carol Mario"/>
    <d v="2019-08-10T00:00:00"/>
    <x v="2"/>
    <x v="16"/>
    <x v="6"/>
    <n v="3"/>
    <x v="2"/>
    <x v="22"/>
    <n v="186"/>
    <x v="109"/>
    <n v="84"/>
    <n v="6"/>
  </r>
  <r>
    <n v="7"/>
    <x v="5"/>
    <s v="Carol Mario"/>
    <d v="2020-12-05T00:00:00"/>
    <x v="5"/>
    <x v="5"/>
    <x v="4"/>
    <n v="2"/>
    <x v="1"/>
    <x v="35"/>
    <n v="656"/>
    <x v="110"/>
    <n v="69"/>
    <n v="7"/>
  </r>
  <r>
    <n v="2"/>
    <x v="2"/>
    <s v="Carol Mario"/>
    <d v="2019-08-10T00:00:00"/>
    <x v="2"/>
    <x v="13"/>
    <x v="3"/>
    <n v="3"/>
    <x v="2"/>
    <x v="28"/>
    <n v="199"/>
    <x v="67"/>
    <n v="42"/>
    <n v="8"/>
  </r>
  <r>
    <n v="3"/>
    <x v="4"/>
    <s v="Lester De Mesa"/>
    <d v="2019-09-19T00:00:00"/>
    <x v="4"/>
    <x v="7"/>
    <x v="1"/>
    <n v="1"/>
    <x v="0"/>
    <x v="15"/>
    <n v="1483"/>
    <x v="111"/>
    <n v="67"/>
    <n v="6"/>
  </r>
  <r>
    <n v="5"/>
    <x v="9"/>
    <s v="Lester De Mesa"/>
    <d v="2020-05-15T00:00:00"/>
    <x v="8"/>
    <x v="15"/>
    <x v="2"/>
    <n v="1"/>
    <x v="0"/>
    <x v="7"/>
    <n v="1609"/>
    <x v="112"/>
    <n v="28"/>
    <n v="9"/>
  </r>
  <r>
    <n v="4"/>
    <x v="1"/>
    <s v="Carol Mario"/>
    <d v="2020-02-10T00:00:00"/>
    <x v="1"/>
    <x v="25"/>
    <x v="0"/>
    <n v="3"/>
    <x v="2"/>
    <x v="26"/>
    <n v="187"/>
    <x v="21"/>
    <n v="81"/>
    <n v="6"/>
  </r>
  <r>
    <n v="4"/>
    <x v="1"/>
    <s v="Carol Mario"/>
    <d v="2020-02-10T00:00:00"/>
    <x v="1"/>
    <x v="9"/>
    <x v="4"/>
    <n v="3"/>
    <x v="2"/>
    <x v="26"/>
    <n v="198"/>
    <x v="113"/>
    <n v="76"/>
    <n v="6"/>
  </r>
  <r>
    <n v="10"/>
    <x v="0"/>
    <s v="Lester De Mesa"/>
    <d v="2021-02-11T00:00:00"/>
    <x v="0"/>
    <x v="23"/>
    <x v="1"/>
    <n v="3"/>
    <x v="2"/>
    <x v="14"/>
    <n v="470"/>
    <x v="114"/>
    <n v="38"/>
    <n v="8"/>
  </r>
  <r>
    <n v="4"/>
    <x v="1"/>
    <s v="Carol Mario"/>
    <d v="2020-02-10T00:00:00"/>
    <x v="1"/>
    <x v="4"/>
    <x v="3"/>
    <n v="1"/>
    <x v="0"/>
    <x v="27"/>
    <n v="975"/>
    <x v="115"/>
    <n v="37"/>
    <n v="8"/>
  </r>
  <r>
    <n v="9"/>
    <x v="3"/>
    <s v="Lester De Mesa"/>
    <d v="2021-01-30T00:00:00"/>
    <x v="3"/>
    <x v="10"/>
    <x v="0"/>
    <n v="2"/>
    <x v="1"/>
    <x v="16"/>
    <n v="778"/>
    <x v="116"/>
    <n v="32"/>
    <n v="8"/>
  </r>
  <r>
    <n v="2"/>
    <x v="2"/>
    <s v="Carol Mario"/>
    <d v="2019-08-10T00:00:00"/>
    <x v="2"/>
    <x v="15"/>
    <x v="2"/>
    <n v="1"/>
    <x v="0"/>
    <x v="36"/>
    <n v="730"/>
    <x v="117"/>
    <n v="57"/>
    <n v="7"/>
  </r>
  <r>
    <n v="8"/>
    <x v="7"/>
    <s v="Carol Mario"/>
    <d v="2021-01-16T00:00:00"/>
    <x v="3"/>
    <x v="0"/>
    <x v="0"/>
    <n v="2"/>
    <x v="1"/>
    <x v="21"/>
    <n v="443"/>
    <x v="118"/>
    <n v="67"/>
    <n v="7"/>
  </r>
  <r>
    <n v="6"/>
    <x v="6"/>
    <s v="Lester De Mesa"/>
    <d v="2020-10-12T00:00:00"/>
    <x v="6"/>
    <x v="15"/>
    <x v="2"/>
    <n v="2"/>
    <x v="1"/>
    <x v="25"/>
    <n v="146"/>
    <x v="119"/>
    <n v="74"/>
    <n v="6"/>
  </r>
  <r>
    <n v="9"/>
    <x v="3"/>
    <s v="Lester De Mesa"/>
    <d v="2021-01-30T00:00:00"/>
    <x v="3"/>
    <x v="21"/>
    <x v="5"/>
    <n v="2"/>
    <x v="1"/>
    <x v="16"/>
    <n v="326"/>
    <x v="120"/>
    <n v="44"/>
    <n v="9"/>
  </r>
  <r>
    <n v="2"/>
    <x v="2"/>
    <s v="Carol Mario"/>
    <d v="2019-08-10T00:00:00"/>
    <x v="2"/>
    <x v="23"/>
    <x v="1"/>
    <n v="1"/>
    <x v="0"/>
    <x v="22"/>
    <n v="436"/>
    <x v="121"/>
    <n v="32"/>
    <n v="8"/>
  </r>
  <r>
    <n v="1"/>
    <x v="8"/>
    <s v="Carol Mario"/>
    <d v="2019-06-09T00:00:00"/>
    <x v="7"/>
    <x v="18"/>
    <x v="4"/>
    <n v="3"/>
    <x v="2"/>
    <x v="27"/>
    <n v="1456"/>
    <x v="122"/>
    <n v="19"/>
    <n v="9"/>
  </r>
  <r>
    <n v="10"/>
    <x v="0"/>
    <s v="Lester De Mesa"/>
    <d v="2021-02-11T00:00:00"/>
    <x v="0"/>
    <x v="12"/>
    <x v="6"/>
    <n v="3"/>
    <x v="2"/>
    <x v="16"/>
    <n v="362"/>
    <x v="123"/>
    <n v="38"/>
    <n v="8"/>
  </r>
  <r>
    <n v="7"/>
    <x v="5"/>
    <s v="Carol Mario"/>
    <d v="2020-12-05T00:00:00"/>
    <x v="5"/>
    <x v="23"/>
    <x v="1"/>
    <n v="3"/>
    <x v="2"/>
    <x v="35"/>
    <n v="370"/>
    <x v="124"/>
    <n v="43"/>
    <n v="8"/>
  </r>
  <r>
    <n v="3"/>
    <x v="4"/>
    <s v="Lester De Mesa"/>
    <d v="2019-09-19T00:00:00"/>
    <x v="4"/>
    <x v="26"/>
    <x v="2"/>
    <n v="1"/>
    <x v="0"/>
    <x v="26"/>
    <n v="1777"/>
    <x v="125"/>
    <n v="74"/>
    <n v="6"/>
  </r>
  <r>
    <n v="3"/>
    <x v="4"/>
    <s v="Lester De Mesa"/>
    <d v="2019-09-19T00:00:00"/>
    <x v="4"/>
    <x v="19"/>
    <x v="5"/>
    <n v="3"/>
    <x v="2"/>
    <x v="12"/>
    <n v="457"/>
    <x v="126"/>
    <n v="35"/>
    <n v="9"/>
  </r>
  <r>
    <n v="4"/>
    <x v="1"/>
    <s v="Carol Mario"/>
    <d v="2020-02-10T00:00:00"/>
    <x v="1"/>
    <x v="11"/>
    <x v="5"/>
    <n v="1"/>
    <x v="0"/>
    <x v="34"/>
    <n v="381"/>
    <x v="127"/>
    <n v="18"/>
    <n v="9"/>
  </r>
  <r>
    <n v="7"/>
    <x v="5"/>
    <s v="Carol Mario"/>
    <d v="2020-12-05T00:00:00"/>
    <x v="5"/>
    <x v="6"/>
    <x v="2"/>
    <n v="1"/>
    <x v="0"/>
    <x v="21"/>
    <n v="119"/>
    <x v="128"/>
    <n v="29"/>
    <n v="9"/>
  </r>
  <r>
    <n v="3"/>
    <x v="4"/>
    <s v="Lester De Mesa"/>
    <d v="2019-09-19T00:00:00"/>
    <x v="4"/>
    <x v="16"/>
    <x v="6"/>
    <n v="1"/>
    <x v="0"/>
    <x v="13"/>
    <n v="1639"/>
    <x v="129"/>
    <n v="56"/>
    <n v="7"/>
  </r>
  <r>
    <n v="10"/>
    <x v="0"/>
    <s v="Lester De Mesa"/>
    <d v="2021-02-11T00:00:00"/>
    <x v="0"/>
    <x v="20"/>
    <x v="1"/>
    <n v="1"/>
    <x v="0"/>
    <x v="13"/>
    <n v="901"/>
    <x v="130"/>
    <n v="44"/>
    <n v="8"/>
  </r>
  <r>
    <n v="6"/>
    <x v="6"/>
    <s v="Lester De Mesa"/>
    <d v="2020-10-12T00:00:00"/>
    <x v="6"/>
    <x v="0"/>
    <x v="0"/>
    <n v="3"/>
    <x v="2"/>
    <x v="11"/>
    <n v="402"/>
    <x v="99"/>
    <n v="30"/>
    <n v="10"/>
  </r>
  <r>
    <n v="7"/>
    <x v="5"/>
    <s v="Carol Mario"/>
    <d v="2020-12-05T00:00:00"/>
    <x v="5"/>
    <x v="3"/>
    <x v="0"/>
    <n v="2"/>
    <x v="1"/>
    <x v="6"/>
    <n v="394"/>
    <x v="131"/>
    <n v="25"/>
    <n v="8"/>
  </r>
  <r>
    <n v="1"/>
    <x v="8"/>
    <s v="Carol Mario"/>
    <d v="2019-06-09T00:00:00"/>
    <x v="7"/>
    <x v="0"/>
    <x v="0"/>
    <n v="1"/>
    <x v="0"/>
    <x v="36"/>
    <n v="1839"/>
    <x v="132"/>
    <n v="32"/>
    <n v="9"/>
  </r>
  <r>
    <n v="1"/>
    <x v="8"/>
    <s v="Carol Mario"/>
    <d v="2019-06-09T00:00:00"/>
    <x v="7"/>
    <x v="12"/>
    <x v="6"/>
    <n v="3"/>
    <x v="2"/>
    <x v="35"/>
    <n v="1422"/>
    <x v="133"/>
    <n v="79"/>
    <n v="5"/>
  </r>
  <r>
    <n v="2"/>
    <x v="2"/>
    <s v="Carol Mario"/>
    <d v="2019-08-10T00:00:00"/>
    <x v="2"/>
    <x v="8"/>
    <x v="4"/>
    <n v="2"/>
    <x v="1"/>
    <x v="28"/>
    <n v="41"/>
    <x v="23"/>
    <n v="24"/>
    <n v="10"/>
  </r>
  <r>
    <n v="5"/>
    <x v="9"/>
    <s v="Lester De Mesa"/>
    <d v="2020-05-15T00:00:00"/>
    <x v="8"/>
    <x v="10"/>
    <x v="0"/>
    <n v="1"/>
    <x v="0"/>
    <x v="24"/>
    <n v="1298"/>
    <x v="134"/>
    <n v="17"/>
    <n v="10"/>
  </r>
  <r>
    <n v="4"/>
    <x v="1"/>
    <s v="Carol Mario"/>
    <d v="2020-02-10T00:00:00"/>
    <x v="1"/>
    <x v="24"/>
    <x v="6"/>
    <n v="2"/>
    <x v="1"/>
    <x v="35"/>
    <n v="689"/>
    <x v="135"/>
    <n v="90"/>
    <n v="6"/>
  </r>
  <r>
    <n v="5"/>
    <x v="9"/>
    <s v="Lester De Mesa"/>
    <d v="2020-05-15T00:00:00"/>
    <x v="8"/>
    <x v="22"/>
    <x v="5"/>
    <n v="3"/>
    <x v="2"/>
    <x v="22"/>
    <n v="154"/>
    <x v="136"/>
    <n v="33"/>
    <n v="8"/>
  </r>
  <r>
    <n v="5"/>
    <x v="9"/>
    <s v="Lester De Mesa"/>
    <d v="2020-05-15T00:00:00"/>
    <x v="8"/>
    <x v="14"/>
    <x v="6"/>
    <n v="2"/>
    <x v="1"/>
    <x v="17"/>
    <n v="576"/>
    <x v="137"/>
    <n v="52"/>
    <n v="7"/>
  </r>
  <r>
    <n v="10"/>
    <x v="0"/>
    <s v="Lester De Mesa"/>
    <d v="2021-02-11T00:00:00"/>
    <x v="0"/>
    <x v="21"/>
    <x v="5"/>
    <n v="3"/>
    <x v="2"/>
    <x v="14"/>
    <n v="441"/>
    <x v="58"/>
    <n v="39"/>
    <n v="8"/>
  </r>
  <r>
    <n v="6"/>
    <x v="6"/>
    <s v="Lester De Mesa"/>
    <d v="2020-10-12T00:00:00"/>
    <x v="6"/>
    <x v="7"/>
    <x v="1"/>
    <n v="1"/>
    <x v="0"/>
    <x v="24"/>
    <n v="874"/>
    <x v="66"/>
    <n v="75"/>
    <n v="6"/>
  </r>
  <r>
    <n v="9"/>
    <x v="3"/>
    <s v="Lester De Mesa"/>
    <d v="2021-01-30T00:00:00"/>
    <x v="3"/>
    <x v="11"/>
    <x v="5"/>
    <n v="3"/>
    <x v="2"/>
    <x v="8"/>
    <n v="300"/>
    <x v="138"/>
    <n v="67"/>
    <n v="7"/>
  </r>
  <r>
    <n v="1"/>
    <x v="8"/>
    <s v="Carol Mario"/>
    <d v="2019-06-09T00:00:00"/>
    <x v="7"/>
    <x v="20"/>
    <x v="1"/>
    <n v="1"/>
    <x v="0"/>
    <x v="18"/>
    <n v="1054"/>
    <x v="139"/>
    <n v="73"/>
    <n v="5"/>
  </r>
  <r>
    <n v="3"/>
    <x v="4"/>
    <s v="Lester De Mesa"/>
    <d v="2019-09-19T00:00:00"/>
    <x v="4"/>
    <x v="11"/>
    <x v="5"/>
    <n v="3"/>
    <x v="2"/>
    <x v="12"/>
    <n v="635"/>
    <x v="140"/>
    <n v="54"/>
    <n v="7"/>
  </r>
  <r>
    <n v="5"/>
    <x v="9"/>
    <s v="Lester De Mesa"/>
    <d v="2020-05-15T00:00:00"/>
    <x v="8"/>
    <x v="8"/>
    <x v="4"/>
    <n v="2"/>
    <x v="1"/>
    <x v="18"/>
    <n v="768"/>
    <x v="141"/>
    <n v="83"/>
    <n v="6"/>
  </r>
  <r>
    <n v="1"/>
    <x v="8"/>
    <s v="Carol Mario"/>
    <d v="2019-06-09T00:00:00"/>
    <x v="7"/>
    <x v="17"/>
    <x v="3"/>
    <n v="3"/>
    <x v="2"/>
    <x v="34"/>
    <n v="783"/>
    <x v="142"/>
    <n v="31"/>
    <n v="8"/>
  </r>
  <r>
    <n v="4"/>
    <x v="1"/>
    <s v="Carol Mario"/>
    <d v="2020-02-10T00:00:00"/>
    <x v="1"/>
    <x v="18"/>
    <x v="4"/>
    <n v="3"/>
    <x v="2"/>
    <x v="26"/>
    <n v="212"/>
    <x v="143"/>
    <n v="31"/>
    <n v="8"/>
  </r>
  <r>
    <n v="2"/>
    <x v="2"/>
    <s v="Carol Mario"/>
    <d v="2019-08-10T00:00:00"/>
    <x v="2"/>
    <x v="24"/>
    <x v="6"/>
    <n v="3"/>
    <x v="2"/>
    <x v="17"/>
    <n v="446"/>
    <x v="144"/>
    <n v="77"/>
    <n v="6"/>
  </r>
  <r>
    <n v="4"/>
    <x v="1"/>
    <s v="Carol Mario"/>
    <d v="2020-02-10T00:00:00"/>
    <x v="1"/>
    <x v="26"/>
    <x v="2"/>
    <n v="2"/>
    <x v="1"/>
    <x v="37"/>
    <n v="179"/>
    <x v="145"/>
    <n v="30"/>
    <n v="8"/>
  </r>
  <r>
    <n v="3"/>
    <x v="4"/>
    <s v="Lester De Mesa"/>
    <d v="2019-09-19T00:00:00"/>
    <x v="4"/>
    <x v="25"/>
    <x v="0"/>
    <n v="2"/>
    <x v="1"/>
    <x v="33"/>
    <n v="537"/>
    <x v="146"/>
    <n v="26"/>
    <n v="9"/>
  </r>
  <r>
    <n v="2"/>
    <x v="2"/>
    <s v="Carol Mario"/>
    <d v="2019-08-10T00:00:00"/>
    <x v="2"/>
    <x v="11"/>
    <x v="5"/>
    <n v="2"/>
    <x v="1"/>
    <x v="29"/>
    <n v="207"/>
    <x v="147"/>
    <n v="33"/>
    <n v="8"/>
  </r>
  <r>
    <n v="7"/>
    <x v="5"/>
    <s v="Carol Mario"/>
    <d v="2020-12-05T00:00:00"/>
    <x v="5"/>
    <x v="26"/>
    <x v="2"/>
    <n v="2"/>
    <x v="1"/>
    <x v="0"/>
    <n v="504"/>
    <x v="148"/>
    <n v="64"/>
    <n v="7"/>
  </r>
  <r>
    <n v="1"/>
    <x v="8"/>
    <s v="Carol Mario"/>
    <d v="2019-06-09T00:00:00"/>
    <x v="7"/>
    <x v="22"/>
    <x v="5"/>
    <n v="2"/>
    <x v="1"/>
    <x v="3"/>
    <n v="607"/>
    <x v="149"/>
    <n v="25"/>
    <n v="10"/>
  </r>
  <r>
    <n v="4"/>
    <x v="1"/>
    <s v="Carol Mario"/>
    <d v="2020-02-10T00:00:00"/>
    <x v="1"/>
    <x v="19"/>
    <x v="5"/>
    <n v="1"/>
    <x v="0"/>
    <x v="37"/>
    <n v="708"/>
    <x v="150"/>
    <n v="11"/>
    <n v="10"/>
  </r>
  <r>
    <n v="1"/>
    <x v="8"/>
    <s v="Carol Mario"/>
    <d v="2019-06-09T00:00:00"/>
    <x v="7"/>
    <x v="1"/>
    <x v="1"/>
    <n v="1"/>
    <x v="0"/>
    <x v="21"/>
    <n v="1713"/>
    <x v="151"/>
    <n v="55"/>
    <n v="7"/>
  </r>
  <r>
    <n v="1"/>
    <x v="8"/>
    <s v="Carol Mario"/>
    <d v="2019-06-09T00:00:00"/>
    <x v="7"/>
    <x v="2"/>
    <x v="2"/>
    <n v="2"/>
    <x v="1"/>
    <x v="30"/>
    <n v="1211"/>
    <x v="152"/>
    <n v="18"/>
    <n v="9"/>
  </r>
  <r>
    <n v="5"/>
    <x v="9"/>
    <s v="Lester De Mesa"/>
    <d v="2020-05-15T00:00:00"/>
    <x v="8"/>
    <x v="19"/>
    <x v="5"/>
    <n v="2"/>
    <x v="1"/>
    <x v="7"/>
    <n v="696"/>
    <x v="153"/>
    <n v="62"/>
    <n v="7"/>
  </r>
  <r>
    <n v="3"/>
    <x v="4"/>
    <s v="Lester De Mesa"/>
    <d v="2019-09-19T00:00:00"/>
    <x v="4"/>
    <x v="18"/>
    <x v="4"/>
    <n v="2"/>
    <x v="1"/>
    <x v="26"/>
    <n v="368"/>
    <x v="154"/>
    <n v="78"/>
    <n v="6"/>
  </r>
  <r>
    <n v="6"/>
    <x v="6"/>
    <s v="Lester De Mesa"/>
    <d v="2020-10-12T00:00:00"/>
    <x v="6"/>
    <x v="13"/>
    <x v="3"/>
    <n v="1"/>
    <x v="0"/>
    <x v="12"/>
    <n v="878"/>
    <x v="155"/>
    <n v="40"/>
    <n v="9"/>
  </r>
  <r>
    <n v="8"/>
    <x v="7"/>
    <s v="Carol Mario"/>
    <d v="2021-01-16T00:00:00"/>
    <x v="3"/>
    <x v="10"/>
    <x v="0"/>
    <n v="1"/>
    <x v="0"/>
    <x v="21"/>
    <n v="1437"/>
    <x v="156"/>
    <n v="68"/>
    <n v="6"/>
  </r>
  <r>
    <n v="10"/>
    <x v="0"/>
    <s v="Lester De Mesa"/>
    <d v="2021-02-11T00:00:00"/>
    <x v="0"/>
    <x v="22"/>
    <x v="5"/>
    <n v="2"/>
    <x v="1"/>
    <x v="23"/>
    <n v="63"/>
    <x v="157"/>
    <n v="53"/>
    <n v="7"/>
  </r>
  <r>
    <n v="5"/>
    <x v="9"/>
    <s v="Lester De Mesa"/>
    <d v="2020-05-15T00:00:00"/>
    <x v="8"/>
    <x v="0"/>
    <x v="0"/>
    <n v="2"/>
    <x v="1"/>
    <x v="7"/>
    <n v="643"/>
    <x v="158"/>
    <n v="21"/>
    <n v="10"/>
  </r>
  <r>
    <n v="2"/>
    <x v="2"/>
    <s v="Carol Mario"/>
    <d v="2019-08-10T00:00:00"/>
    <x v="2"/>
    <x v="18"/>
    <x v="4"/>
    <n v="1"/>
    <x v="0"/>
    <x v="36"/>
    <n v="473"/>
    <x v="159"/>
    <n v="11"/>
    <n v="10"/>
  </r>
  <r>
    <n v="8"/>
    <x v="7"/>
    <s v="Carol Mario"/>
    <d v="2021-01-16T00:00:00"/>
    <x v="3"/>
    <x v="25"/>
    <x v="0"/>
    <n v="1"/>
    <x v="0"/>
    <x v="17"/>
    <n v="1214"/>
    <x v="160"/>
    <n v="39"/>
    <n v="8"/>
  </r>
  <r>
    <n v="7"/>
    <x v="5"/>
    <s v="Carol Mario"/>
    <d v="2020-12-05T00:00:00"/>
    <x v="5"/>
    <x v="15"/>
    <x v="2"/>
    <n v="3"/>
    <x v="2"/>
    <x v="35"/>
    <n v="84"/>
    <x v="161"/>
    <n v="21"/>
    <n v="10"/>
  </r>
  <r>
    <n v="7"/>
    <x v="5"/>
    <s v="Carol Mario"/>
    <d v="2020-12-05T00:00:00"/>
    <x v="5"/>
    <x v="0"/>
    <x v="0"/>
    <n v="1"/>
    <x v="0"/>
    <x v="21"/>
    <n v="153"/>
    <x v="162"/>
    <n v="30"/>
    <n v="9"/>
  </r>
  <r>
    <n v="8"/>
    <x v="7"/>
    <s v="Carol Mario"/>
    <d v="2021-01-16T00:00:00"/>
    <x v="3"/>
    <x v="17"/>
    <x v="3"/>
    <n v="1"/>
    <x v="0"/>
    <x v="21"/>
    <n v="793"/>
    <x v="163"/>
    <n v="25"/>
    <n v="8"/>
  </r>
  <r>
    <n v="1"/>
    <x v="8"/>
    <s v="Carol Mario"/>
    <d v="2019-06-09T00:00:00"/>
    <x v="7"/>
    <x v="24"/>
    <x v="6"/>
    <n v="2"/>
    <x v="1"/>
    <x v="6"/>
    <n v="1813"/>
    <x v="164"/>
    <n v="91"/>
    <n v="5"/>
  </r>
  <r>
    <n v="9"/>
    <x v="3"/>
    <s v="Lester De Mesa"/>
    <d v="2021-01-30T00:00:00"/>
    <x v="3"/>
    <x v="23"/>
    <x v="1"/>
    <n v="2"/>
    <x v="1"/>
    <x v="16"/>
    <n v="734"/>
    <x v="165"/>
    <n v="56"/>
    <n v="7"/>
  </r>
  <r>
    <n v="10"/>
    <x v="0"/>
    <s v="Lester De Mesa"/>
    <d v="2021-02-11T00:00:00"/>
    <x v="0"/>
    <x v="8"/>
    <x v="4"/>
    <n v="1"/>
    <x v="0"/>
    <x v="20"/>
    <n v="860"/>
    <x v="166"/>
    <n v="15"/>
    <n v="10"/>
  </r>
  <r>
    <n v="5"/>
    <x v="9"/>
    <s v="Lester De Mesa"/>
    <d v="2020-05-15T00:00:00"/>
    <x v="8"/>
    <x v="26"/>
    <x v="2"/>
    <n v="3"/>
    <x v="2"/>
    <x v="21"/>
    <n v="596"/>
    <x v="167"/>
    <n v="36"/>
    <n v="9"/>
  </r>
  <r>
    <n v="9"/>
    <x v="3"/>
    <s v="Lester De Mesa"/>
    <d v="2021-01-30T00:00:00"/>
    <x v="3"/>
    <x v="7"/>
    <x v="1"/>
    <n v="1"/>
    <x v="0"/>
    <x v="14"/>
    <n v="1718"/>
    <x v="55"/>
    <n v="96"/>
    <n v="5"/>
  </r>
  <r>
    <n v="2"/>
    <x v="2"/>
    <s v="Carol Mario"/>
    <d v="2019-08-10T00:00:00"/>
    <x v="2"/>
    <x v="21"/>
    <x v="5"/>
    <n v="1"/>
    <x v="0"/>
    <x v="38"/>
    <n v="105"/>
    <x v="26"/>
    <n v="73"/>
    <n v="6"/>
  </r>
  <r>
    <n v="7"/>
    <x v="5"/>
    <s v="Carol Mario"/>
    <d v="2020-12-05T00:00:00"/>
    <x v="5"/>
    <x v="7"/>
    <x v="1"/>
    <n v="2"/>
    <x v="1"/>
    <x v="7"/>
    <n v="668"/>
    <x v="168"/>
    <n v="71"/>
    <n v="6"/>
  </r>
  <r>
    <n v="8"/>
    <x v="7"/>
    <s v="Carol Mario"/>
    <d v="2021-01-16T00:00:00"/>
    <x v="3"/>
    <x v="24"/>
    <x v="6"/>
    <n v="3"/>
    <x v="2"/>
    <x v="24"/>
    <n v="25"/>
    <x v="169"/>
    <n v="82"/>
    <n v="5"/>
  </r>
  <r>
    <n v="2"/>
    <x v="2"/>
    <s v="Carol Mario"/>
    <d v="2019-08-10T00:00:00"/>
    <x v="2"/>
    <x v="1"/>
    <x v="1"/>
    <n v="2"/>
    <x v="1"/>
    <x v="24"/>
    <n v="8"/>
    <x v="170"/>
    <n v="34"/>
    <n v="8"/>
  </r>
  <r>
    <n v="1"/>
    <x v="8"/>
    <s v="Carol Mario"/>
    <d v="2019-06-09T00:00:00"/>
    <x v="7"/>
    <x v="6"/>
    <x v="2"/>
    <n v="1"/>
    <x v="0"/>
    <x v="36"/>
    <n v="1942"/>
    <x v="171"/>
    <n v="33"/>
    <n v="9"/>
  </r>
  <r>
    <n v="8"/>
    <x v="7"/>
    <s v="Carol Mario"/>
    <d v="2021-01-16T00:00:00"/>
    <x v="3"/>
    <x v="19"/>
    <x v="5"/>
    <n v="2"/>
    <x v="1"/>
    <x v="15"/>
    <n v="197"/>
    <x v="172"/>
    <n v="64"/>
    <n v="7"/>
  </r>
  <r>
    <n v="5"/>
    <x v="9"/>
    <s v="Lester De Mesa"/>
    <d v="2020-05-15T00:00:00"/>
    <x v="8"/>
    <x v="18"/>
    <x v="4"/>
    <n v="1"/>
    <x v="0"/>
    <x v="24"/>
    <n v="1382"/>
    <x v="173"/>
    <n v="83"/>
    <n v="6"/>
  </r>
  <r>
    <n v="2"/>
    <x v="2"/>
    <s v="Carol Mario"/>
    <d v="2019-08-10T00:00:00"/>
    <x v="2"/>
    <x v="5"/>
    <x v="4"/>
    <n v="3"/>
    <x v="2"/>
    <x v="28"/>
    <n v="107"/>
    <x v="47"/>
    <n v="72"/>
    <n v="6"/>
  </r>
  <r>
    <n v="6"/>
    <x v="6"/>
    <s v="Lester De Mesa"/>
    <d v="2020-10-12T00:00:00"/>
    <x v="6"/>
    <x v="20"/>
    <x v="1"/>
    <n v="3"/>
    <x v="2"/>
    <x v="35"/>
    <n v="331"/>
    <x v="174"/>
    <n v="90"/>
    <n v="5"/>
  </r>
  <r>
    <n v="2"/>
    <x v="2"/>
    <s v="Carol Mario"/>
    <d v="2019-08-10T00:00:00"/>
    <x v="2"/>
    <x v="19"/>
    <x v="5"/>
    <n v="2"/>
    <x v="1"/>
    <x v="36"/>
    <n v="262"/>
    <x v="175"/>
    <n v="62"/>
    <n v="7"/>
  </r>
  <r>
    <n v="5"/>
    <x v="9"/>
    <s v="Lester De Mesa"/>
    <d v="2020-05-15T00:00:00"/>
    <x v="8"/>
    <x v="12"/>
    <x v="6"/>
    <n v="1"/>
    <x v="0"/>
    <x v="0"/>
    <n v="1399"/>
    <x v="176"/>
    <n v="37"/>
    <n v="8"/>
  </r>
  <r>
    <n v="7"/>
    <x v="5"/>
    <s v="Carol Mario"/>
    <d v="2020-12-05T00:00:00"/>
    <x v="5"/>
    <x v="24"/>
    <x v="6"/>
    <n v="2"/>
    <x v="1"/>
    <x v="35"/>
    <n v="254"/>
    <x v="177"/>
    <n v="28"/>
    <n v="8"/>
  </r>
  <r>
    <n v="5"/>
    <x v="9"/>
    <s v="Lester De Mesa"/>
    <d v="2020-05-15T00:00:00"/>
    <x v="8"/>
    <x v="17"/>
    <x v="3"/>
    <n v="1"/>
    <x v="0"/>
    <x v="11"/>
    <n v="1566"/>
    <x v="178"/>
    <n v="26"/>
    <n v="9"/>
  </r>
  <r>
    <n v="9"/>
    <x v="3"/>
    <s v="Lester De Mesa"/>
    <d v="2021-01-30T00:00:00"/>
    <x v="3"/>
    <x v="12"/>
    <x v="6"/>
    <n v="2"/>
    <x v="1"/>
    <x v="8"/>
    <n v="449"/>
    <x v="179"/>
    <n v="87"/>
    <n v="5"/>
  </r>
  <r>
    <n v="5"/>
    <x v="9"/>
    <s v="Lester De Mesa"/>
    <d v="2020-05-15T00:00:00"/>
    <x v="8"/>
    <x v="24"/>
    <x v="6"/>
    <n v="3"/>
    <x v="2"/>
    <x v="15"/>
    <n v="518"/>
    <x v="180"/>
    <n v="43"/>
    <n v="8"/>
  </r>
  <r>
    <n v="5"/>
    <x v="9"/>
    <s v="Lester De Mesa"/>
    <d v="2020-05-15T00:00:00"/>
    <x v="8"/>
    <x v="4"/>
    <x v="3"/>
    <n v="2"/>
    <x v="1"/>
    <x v="17"/>
    <n v="508"/>
    <x v="181"/>
    <n v="10"/>
    <n v="10"/>
  </r>
  <r>
    <n v="9"/>
    <x v="3"/>
    <s v="Lester De Mesa"/>
    <d v="2021-01-30T00:00:00"/>
    <x v="3"/>
    <x v="17"/>
    <x v="3"/>
    <n v="2"/>
    <x v="1"/>
    <x v="16"/>
    <n v="364"/>
    <x v="182"/>
    <n v="57"/>
    <n v="7"/>
  </r>
  <r>
    <n v="3"/>
    <x v="4"/>
    <s v="Lester De Mesa"/>
    <d v="2019-09-19T00:00:00"/>
    <x v="4"/>
    <x v="3"/>
    <x v="0"/>
    <n v="1"/>
    <x v="0"/>
    <x v="26"/>
    <n v="1562"/>
    <x v="183"/>
    <n v="38"/>
    <n v="9"/>
  </r>
  <r>
    <n v="10"/>
    <x v="0"/>
    <s v="Lester De Mesa"/>
    <d v="2021-02-11T00:00:00"/>
    <x v="0"/>
    <x v="7"/>
    <x v="1"/>
    <n v="2"/>
    <x v="1"/>
    <x v="1"/>
    <n v="200"/>
    <x v="184"/>
    <n v="56"/>
    <n v="7"/>
  </r>
  <r>
    <n v="4"/>
    <x v="1"/>
    <s v="Carol Mario"/>
    <d v="2020-02-10T00:00:00"/>
    <x v="1"/>
    <x v="3"/>
    <x v="0"/>
    <n v="2"/>
    <x v="1"/>
    <x v="2"/>
    <n v="219"/>
    <x v="59"/>
    <n v="34"/>
    <n v="8"/>
  </r>
  <r>
    <n v="6"/>
    <x v="6"/>
    <s v="Lester De Mesa"/>
    <d v="2020-10-12T00:00:00"/>
    <x v="6"/>
    <x v="22"/>
    <x v="5"/>
    <n v="1"/>
    <x v="0"/>
    <x v="33"/>
    <n v="1091"/>
    <x v="185"/>
    <n v="60"/>
    <n v="7"/>
  </r>
  <r>
    <n v="7"/>
    <x v="5"/>
    <s v="Carol Mario"/>
    <d v="2020-12-05T00:00:00"/>
    <x v="5"/>
    <x v="11"/>
    <x v="5"/>
    <n v="1"/>
    <x v="0"/>
    <x v="6"/>
    <n v="1802"/>
    <x v="186"/>
    <n v="30"/>
    <n v="10"/>
  </r>
  <r>
    <n v="6"/>
    <x v="6"/>
    <s v="Lester De Mesa"/>
    <d v="2020-10-12T00:00:00"/>
    <x v="6"/>
    <x v="12"/>
    <x v="6"/>
    <n v="2"/>
    <x v="1"/>
    <x v="18"/>
    <n v="480"/>
    <x v="187"/>
    <n v="70"/>
    <n v="5"/>
  </r>
  <r>
    <n v="1"/>
    <x v="8"/>
    <s v="Carol Mario"/>
    <d v="2019-06-09T00:00:00"/>
    <x v="7"/>
    <x v="23"/>
    <x v="1"/>
    <n v="3"/>
    <x v="2"/>
    <x v="18"/>
    <n v="686"/>
    <x v="188"/>
    <n v="73"/>
    <n v="6"/>
  </r>
  <r>
    <n v="7"/>
    <x v="5"/>
    <s v="Carol Mario"/>
    <d v="2020-12-05T00:00:00"/>
    <x v="5"/>
    <x v="8"/>
    <x v="4"/>
    <n v="1"/>
    <x v="0"/>
    <x v="13"/>
    <n v="1698"/>
    <x v="189"/>
    <n v="26"/>
    <n v="10"/>
  </r>
  <r>
    <n v="3"/>
    <x v="4"/>
    <s v="Lester De Mesa"/>
    <d v="2019-09-19T00:00:00"/>
    <x v="4"/>
    <x v="15"/>
    <x v="2"/>
    <n v="2"/>
    <x v="1"/>
    <x v="2"/>
    <n v="816"/>
    <x v="190"/>
    <n v="63"/>
    <n v="7"/>
  </r>
  <r>
    <n v="6"/>
    <x v="6"/>
    <s v="Lester De Mesa"/>
    <d v="2020-10-12T00:00:00"/>
    <x v="6"/>
    <x v="23"/>
    <x v="1"/>
    <n v="2"/>
    <x v="1"/>
    <x v="18"/>
    <n v="119"/>
    <x v="128"/>
    <n v="58"/>
    <n v="7"/>
  </r>
  <r>
    <n v="2"/>
    <x v="2"/>
    <s v="Carol Mario"/>
    <d v="2019-08-10T00:00:00"/>
    <x v="2"/>
    <x v="4"/>
    <x v="3"/>
    <n v="2"/>
    <x v="1"/>
    <x v="29"/>
    <n v="101"/>
    <x v="27"/>
    <n v="78"/>
    <n v="6"/>
  </r>
  <r>
    <n v="9"/>
    <x v="3"/>
    <s v="Lester De Mesa"/>
    <d v="2021-01-30T00:00:00"/>
    <x v="3"/>
    <x v="6"/>
    <x v="2"/>
    <n v="3"/>
    <x v="2"/>
    <x v="4"/>
    <n v="279"/>
    <x v="70"/>
    <n v="70"/>
    <n v="7"/>
  </r>
  <r>
    <n v="9"/>
    <x v="3"/>
    <s v="Lester De Mesa"/>
    <d v="2021-01-30T00:00:00"/>
    <x v="3"/>
    <x v="3"/>
    <x v="0"/>
    <n v="1"/>
    <x v="0"/>
    <x v="23"/>
    <n v="1465"/>
    <x v="191"/>
    <n v="82"/>
    <n v="6"/>
  </r>
  <r>
    <n v="7"/>
    <x v="5"/>
    <s v="Carol Mario"/>
    <d v="2020-12-05T00:00:00"/>
    <x v="5"/>
    <x v="25"/>
    <x v="0"/>
    <n v="3"/>
    <x v="2"/>
    <x v="0"/>
    <n v="296"/>
    <x v="192"/>
    <n v="11"/>
    <n v="10"/>
  </r>
  <r>
    <n v="10"/>
    <x v="0"/>
    <s v="Lester De Mesa"/>
    <d v="2021-02-11T00:00:00"/>
    <x v="0"/>
    <x v="5"/>
    <x v="4"/>
    <n v="2"/>
    <x v="1"/>
    <x v="19"/>
    <n v="366"/>
    <x v="193"/>
    <n v="26"/>
    <n v="10"/>
  </r>
  <r>
    <n v="4"/>
    <x v="1"/>
    <s v="Carol Mario"/>
    <d v="2020-02-10T00:00:00"/>
    <x v="1"/>
    <x v="6"/>
    <x v="2"/>
    <n v="1"/>
    <x v="0"/>
    <x v="34"/>
    <n v="761"/>
    <x v="194"/>
    <n v="38"/>
    <n v="9"/>
  </r>
  <r>
    <n v="1"/>
    <x v="8"/>
    <s v="Carol Mario"/>
    <d v="2019-06-09T00:00:00"/>
    <x v="7"/>
    <x v="19"/>
    <x v="5"/>
    <n v="1"/>
    <x v="0"/>
    <x v="3"/>
    <n v="2972"/>
    <x v="195"/>
    <n v="33"/>
    <n v="9"/>
  </r>
  <r>
    <n v="1"/>
    <x v="8"/>
    <s v="Carol Mario"/>
    <d v="2019-06-09T00:00:00"/>
    <x v="7"/>
    <x v="13"/>
    <x v="3"/>
    <n v="2"/>
    <x v="1"/>
    <x v="30"/>
    <n v="1182"/>
    <x v="196"/>
    <n v="72"/>
    <n v="6"/>
  </r>
  <r>
    <n v="5"/>
    <x v="9"/>
    <s v="Lester De Mesa"/>
    <d v="2020-05-15T00:00:00"/>
    <x v="8"/>
    <x v="7"/>
    <x v="1"/>
    <n v="3"/>
    <x v="2"/>
    <x v="35"/>
    <n v="290"/>
    <x v="197"/>
    <n v="36"/>
    <n v="8"/>
  </r>
  <r>
    <n v="10"/>
    <x v="0"/>
    <s v="Lester De Mesa"/>
    <d v="2021-02-11T00:00:00"/>
    <x v="0"/>
    <x v="18"/>
    <x v="4"/>
    <n v="3"/>
    <x v="2"/>
    <x v="19"/>
    <n v="238"/>
    <x v="198"/>
    <n v="43"/>
    <n v="8"/>
  </r>
  <r>
    <n v="10"/>
    <x v="0"/>
    <s v="Lester De Mesa"/>
    <d v="2021-02-11T00:00:00"/>
    <x v="0"/>
    <x v="3"/>
    <x v="0"/>
    <n v="2"/>
    <x v="1"/>
    <x v="19"/>
    <n v="722"/>
    <x v="199"/>
    <n v="80"/>
    <n v="6"/>
  </r>
  <r>
    <n v="8"/>
    <x v="7"/>
    <s v="Carol Mario"/>
    <d v="2021-01-16T00:00:00"/>
    <x v="3"/>
    <x v="4"/>
    <x v="3"/>
    <n v="2"/>
    <x v="1"/>
    <x v="13"/>
    <n v="268"/>
    <x v="200"/>
    <n v="64"/>
    <n v="7"/>
  </r>
  <r>
    <n v="7"/>
    <x v="5"/>
    <s v="Carol Mario"/>
    <d v="2020-12-05T00:00:00"/>
    <x v="5"/>
    <x v="18"/>
    <x v="4"/>
    <n v="3"/>
    <x v="2"/>
    <x v="35"/>
    <n v="249"/>
    <x v="201"/>
    <n v="57"/>
    <n v="7"/>
  </r>
  <r>
    <n v="8"/>
    <x v="7"/>
    <s v="Carol Mario"/>
    <d v="2021-01-16T00:00:00"/>
    <x v="3"/>
    <x v="14"/>
    <x v="6"/>
    <n v="2"/>
    <x v="1"/>
    <x v="15"/>
    <n v="123"/>
    <x v="202"/>
    <n v="59"/>
    <n v="7"/>
  </r>
  <r>
    <n v="3"/>
    <x v="4"/>
    <s v="Lester De Mesa"/>
    <d v="2019-09-19T00:00:00"/>
    <x v="4"/>
    <x v="9"/>
    <x v="4"/>
    <n v="2"/>
    <x v="1"/>
    <x v="10"/>
    <n v="960"/>
    <x v="203"/>
    <n v="64"/>
    <n v="7"/>
  </r>
  <r>
    <n v="10"/>
    <x v="0"/>
    <s v="Lester De Mesa"/>
    <d v="2021-02-11T00:00:00"/>
    <x v="0"/>
    <x v="9"/>
    <x v="4"/>
    <n v="3"/>
    <x v="2"/>
    <x v="23"/>
    <n v="157"/>
    <x v="204"/>
    <n v="39"/>
    <n v="9"/>
  </r>
  <r>
    <n v="8"/>
    <x v="7"/>
    <s v="Carol Mario"/>
    <d v="2021-01-16T00:00:00"/>
    <x v="3"/>
    <x v="22"/>
    <x v="5"/>
    <n v="3"/>
    <x v="2"/>
    <x v="6"/>
    <n v="80"/>
    <x v="205"/>
    <n v="16"/>
    <n v="9"/>
  </r>
  <r>
    <n v="8"/>
    <x v="7"/>
    <s v="Carol Mario"/>
    <d v="2021-01-16T00:00:00"/>
    <x v="3"/>
    <x v="23"/>
    <x v="1"/>
    <n v="1"/>
    <x v="0"/>
    <x v="7"/>
    <n v="903"/>
    <x v="206"/>
    <n v="70"/>
    <n v="6"/>
  </r>
  <r>
    <n v="4"/>
    <x v="1"/>
    <s v="Carol Mario"/>
    <d v="2020-02-10T00:00:00"/>
    <x v="1"/>
    <x v="17"/>
    <x v="3"/>
    <n v="3"/>
    <x v="2"/>
    <x v="5"/>
    <n v="73"/>
    <x v="207"/>
    <n v="19"/>
    <n v="10"/>
  </r>
  <r>
    <n v="7"/>
    <x v="5"/>
    <s v="Carol Mario"/>
    <d v="2020-12-05T00:00:00"/>
    <x v="5"/>
    <x v="22"/>
    <x v="5"/>
    <n v="2"/>
    <x v="1"/>
    <x v="35"/>
    <n v="900"/>
    <x v="208"/>
    <n v="28"/>
    <n v="8"/>
  </r>
  <r>
    <n v="9"/>
    <x v="3"/>
    <s v="Lester De Mesa"/>
    <d v="2021-01-30T00:00:00"/>
    <x v="3"/>
    <x v="1"/>
    <x v="1"/>
    <n v="3"/>
    <x v="2"/>
    <x v="31"/>
    <n v="585"/>
    <x v="209"/>
    <n v="42"/>
    <n v="8"/>
  </r>
  <r>
    <n v="10"/>
    <x v="0"/>
    <s v="Lester De Mesa"/>
    <d v="2021-02-11T00:00:00"/>
    <x v="0"/>
    <x v="14"/>
    <x v="6"/>
    <n v="1"/>
    <x v="0"/>
    <x v="20"/>
    <n v="139"/>
    <x v="210"/>
    <n v="69"/>
    <n v="7"/>
  </r>
  <r>
    <n v="5"/>
    <x v="9"/>
    <s v="Lester De Mesa"/>
    <d v="2020-05-15T00:00:00"/>
    <x v="8"/>
    <x v="25"/>
    <x v="0"/>
    <n v="1"/>
    <x v="0"/>
    <x v="25"/>
    <n v="1422"/>
    <x v="133"/>
    <n v="27"/>
    <n v="8"/>
  </r>
  <r>
    <n v="5"/>
    <x v="9"/>
    <s v="Lester De Mesa"/>
    <d v="2020-05-15T00:00:00"/>
    <x v="8"/>
    <x v="5"/>
    <x v="4"/>
    <n v="3"/>
    <x v="2"/>
    <x v="22"/>
    <n v="464"/>
    <x v="211"/>
    <n v="78"/>
    <n v="6"/>
  </r>
  <r>
    <n v="4"/>
    <x v="1"/>
    <s v="Carol Mario"/>
    <d v="2020-02-10T00:00:00"/>
    <x v="1"/>
    <x v="16"/>
    <x v="6"/>
    <n v="2"/>
    <x v="1"/>
    <x v="7"/>
    <n v="138"/>
    <x v="212"/>
    <n v="62"/>
    <n v="7"/>
  </r>
  <r>
    <n v="2"/>
    <x v="2"/>
    <s v="Carol Mario"/>
    <d v="2019-08-10T00:00:00"/>
    <x v="2"/>
    <x v="0"/>
    <x v="0"/>
    <n v="2"/>
    <x v="1"/>
    <x v="28"/>
    <n v="131"/>
    <x v="213"/>
    <n v="22"/>
    <n v="9"/>
  </r>
  <r>
    <n v="6"/>
    <x v="6"/>
    <s v="Lester De Mesa"/>
    <d v="2020-10-12T00:00:00"/>
    <x v="6"/>
    <x v="25"/>
    <x v="0"/>
    <n v="2"/>
    <x v="1"/>
    <x v="11"/>
    <n v="445"/>
    <x v="214"/>
    <n v="27"/>
    <n v="9"/>
  </r>
  <r>
    <n v="1"/>
    <x v="8"/>
    <s v="Carol Mario"/>
    <d v="2019-06-09T00:00:00"/>
    <x v="7"/>
    <x v="9"/>
    <x v="4"/>
    <n v="3"/>
    <x v="2"/>
    <x v="34"/>
    <n v="494"/>
    <x v="215"/>
    <n v="63"/>
    <n v="7"/>
  </r>
  <r>
    <n v="5"/>
    <x v="9"/>
    <s v="Lester De Mesa"/>
    <d v="2020-05-15T00:00:00"/>
    <x v="8"/>
    <x v="2"/>
    <x v="2"/>
    <n v="3"/>
    <x v="2"/>
    <x v="22"/>
    <n v="504"/>
    <x v="148"/>
    <n v="32"/>
    <n v="9"/>
  </r>
  <r>
    <n v="9"/>
    <x v="3"/>
    <s v="Lester De Mesa"/>
    <d v="2021-01-30T00:00:00"/>
    <x v="3"/>
    <x v="25"/>
    <x v="0"/>
    <n v="2"/>
    <x v="1"/>
    <x v="19"/>
    <n v="427"/>
    <x v="216"/>
    <n v="16"/>
    <n v="10"/>
  </r>
  <r>
    <n v="10"/>
    <x v="0"/>
    <s v="Lester De Mesa"/>
    <d v="2021-02-11T00:00:00"/>
    <x v="0"/>
    <x v="15"/>
    <x v="2"/>
    <n v="3"/>
    <x v="2"/>
    <x v="19"/>
    <n v="207"/>
    <x v="147"/>
    <n v="56"/>
    <n v="7"/>
  </r>
  <r>
    <n v="1"/>
    <x v="8"/>
    <s v="Carol Mario"/>
    <d v="2019-06-09T00:00:00"/>
    <x v="7"/>
    <x v="14"/>
    <x v="6"/>
    <n v="1"/>
    <x v="0"/>
    <x v="7"/>
    <n v="1668"/>
    <x v="217"/>
    <n v="81"/>
    <n v="5"/>
  </r>
  <r>
    <n v="10"/>
    <x v="0"/>
    <s v="Lester De Mesa"/>
    <d v="2021-02-11T00:00:00"/>
    <x v="0"/>
    <x v="4"/>
    <x v="3"/>
    <n v="1"/>
    <x v="0"/>
    <x v="1"/>
    <n v="1293"/>
    <x v="218"/>
    <n v="28"/>
    <n v="8"/>
  </r>
  <r>
    <n v="9"/>
    <x v="3"/>
    <s v="Lester De Mesa"/>
    <d v="2021-01-30T00:00:00"/>
    <x v="3"/>
    <x v="14"/>
    <x v="6"/>
    <n v="3"/>
    <x v="2"/>
    <x v="8"/>
    <n v="22"/>
    <x v="219"/>
    <n v="72"/>
    <n v="6"/>
  </r>
  <r>
    <n v="5"/>
    <x v="9"/>
    <s v="Lester De Mesa"/>
    <d v="2020-05-15T00:00:00"/>
    <x v="8"/>
    <x v="11"/>
    <x v="5"/>
    <n v="2"/>
    <x v="1"/>
    <x v="24"/>
    <n v="545"/>
    <x v="2"/>
    <n v="27"/>
    <n v="8"/>
  </r>
  <r>
    <n v="1"/>
    <x v="8"/>
    <s v="Carol Mario"/>
    <d v="2019-06-09T00:00:00"/>
    <x v="7"/>
    <x v="21"/>
    <x v="5"/>
    <n v="3"/>
    <x v="2"/>
    <x v="27"/>
    <n v="1275"/>
    <x v="220"/>
    <n v="53"/>
    <n v="7"/>
  </r>
  <r>
    <n v="8"/>
    <x v="7"/>
    <s v="Carol Mario"/>
    <d v="2021-01-16T00:00:00"/>
    <x v="3"/>
    <x v="13"/>
    <x v="3"/>
    <n v="3"/>
    <x v="2"/>
    <x v="15"/>
    <n v="356"/>
    <x v="221"/>
    <n v="69"/>
    <n v="7"/>
  </r>
  <r>
    <n v="2"/>
    <x v="2"/>
    <s v="Carol Mario"/>
    <d v="2019-08-10T00:00:00"/>
    <x v="2"/>
    <x v="22"/>
    <x v="5"/>
    <n v="3"/>
    <x v="2"/>
    <x v="30"/>
    <n v="9"/>
    <x v="222"/>
    <n v="90"/>
    <n v="6"/>
  </r>
  <r>
    <n v="9"/>
    <x v="3"/>
    <s v="Lester De Mesa"/>
    <d v="2021-01-30T00:00:00"/>
    <x v="3"/>
    <x v="2"/>
    <x v="2"/>
    <n v="1"/>
    <x v="0"/>
    <x v="23"/>
    <n v="14"/>
    <x v="223"/>
    <n v="21"/>
    <n v="9"/>
  </r>
  <r>
    <n v="10"/>
    <x v="0"/>
    <s v="Lester De Mesa"/>
    <d v="2021-02-11T00:00:00"/>
    <x v="0"/>
    <x v="25"/>
    <x v="0"/>
    <n v="3"/>
    <x v="2"/>
    <x v="14"/>
    <n v="479"/>
    <x v="224"/>
    <n v="57"/>
    <n v="7"/>
  </r>
  <r>
    <n v="2"/>
    <x v="2"/>
    <s v="Carol Mario"/>
    <d v="2019-08-10T00:00:00"/>
    <x v="2"/>
    <x v="12"/>
    <x v="6"/>
    <n v="1"/>
    <x v="0"/>
    <x v="6"/>
    <n v="490"/>
    <x v="225"/>
    <n v="33"/>
    <n v="8"/>
  </r>
  <r>
    <n v="8"/>
    <x v="7"/>
    <s v="Carol Mario"/>
    <d v="2021-01-16T00:00:00"/>
    <x v="3"/>
    <x v="20"/>
    <x v="1"/>
    <n v="2"/>
    <x v="1"/>
    <x v="35"/>
    <n v="34"/>
    <x v="226"/>
    <n v="34"/>
    <n v="8"/>
  </r>
  <r>
    <n v="8"/>
    <x v="7"/>
    <s v="Carol Mario"/>
    <d v="2021-01-16T00:00:00"/>
    <x v="3"/>
    <x v="21"/>
    <x v="5"/>
    <n v="1"/>
    <x v="0"/>
    <x v="21"/>
    <n v="1421"/>
    <x v="227"/>
    <n v="36"/>
    <n v="9"/>
  </r>
  <r>
    <n v="5"/>
    <x v="9"/>
    <s v="Lester De Mesa"/>
    <d v="2020-05-15T00:00:00"/>
    <x v="8"/>
    <x v="1"/>
    <x v="1"/>
    <n v="2"/>
    <x v="1"/>
    <x v="17"/>
    <n v="847"/>
    <x v="228"/>
    <n v="78"/>
    <n v="5"/>
  </r>
  <r>
    <n v="10"/>
    <x v="0"/>
    <s v="Lester De Mesa"/>
    <d v="2021-02-11T00:00:00"/>
    <x v="0"/>
    <x v="24"/>
    <x v="6"/>
    <n v="2"/>
    <x v="1"/>
    <x v="19"/>
    <n v="468"/>
    <x v="229"/>
    <n v="96"/>
    <n v="5"/>
  </r>
  <r>
    <n v="9"/>
    <x v="3"/>
    <s v="Lester De Mesa"/>
    <d v="2021-01-30T00:00:00"/>
    <x v="3"/>
    <x v="9"/>
    <x v="4"/>
    <n v="2"/>
    <x v="1"/>
    <x v="16"/>
    <n v="896"/>
    <x v="230"/>
    <n v="45"/>
    <n v="9"/>
  </r>
  <r>
    <n v="9"/>
    <x v="3"/>
    <s v="Lester De Mesa"/>
    <d v="2021-01-30T00:00:00"/>
    <x v="3"/>
    <x v="22"/>
    <x v="5"/>
    <n v="1"/>
    <x v="0"/>
    <x v="14"/>
    <n v="1616"/>
    <x v="231"/>
    <n v="27"/>
    <n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59EC6B-4086-4650-AB9F-088EA664F2D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14" firstHeaderRow="0" firstDataRow="1" firstDataCol="1"/>
  <pivotFields count="14">
    <pivotField showAll="0"/>
    <pivotField axis="axisRow" showAll="0" sortType="ascending">
      <items count="11">
        <item x="4"/>
        <item x="3"/>
        <item x="9"/>
        <item x="6"/>
        <item x="1"/>
        <item x="2"/>
        <item x="8"/>
        <item x="0"/>
        <item x="5"/>
        <item x="7"/>
        <item t="default"/>
      </items>
      <autoSortScope>
        <pivotArea dataOnly="0" outline="0" fieldPosition="0">
          <references count="1">
            <reference field="4294967294" count="1" selected="0">
              <x v="0"/>
            </reference>
          </references>
        </pivotArea>
      </autoSortScope>
    </pivotField>
    <pivotField showAll="0"/>
    <pivotField numFmtId="14" showAll="0"/>
    <pivotField dataField="1" numFmtId="1" showAll="0">
      <items count="7">
        <item x="0"/>
        <item x="1"/>
        <item x="2"/>
        <item x="3"/>
        <item x="4"/>
        <item x="5"/>
        <item t="default"/>
      </items>
    </pivotField>
    <pivotField numFmtId="14" showAll="0"/>
    <pivotField showAll="0"/>
    <pivotField showAll="0"/>
    <pivotField showAll="0"/>
    <pivotField showAll="0"/>
    <pivotField numFmtId="1" showAll="0"/>
    <pivotField numFmtId="45" showAll="0"/>
    <pivotField showAll="0"/>
    <pivotField dataField="1" showAll="0"/>
  </pivotFields>
  <rowFields count="1">
    <field x="1"/>
  </rowFields>
  <rowItems count="11">
    <i>
      <x v="7"/>
    </i>
    <i>
      <x v="9"/>
    </i>
    <i>
      <x v="1"/>
    </i>
    <i>
      <x v="8"/>
    </i>
    <i>
      <x v="3"/>
    </i>
    <i>
      <x v="2"/>
    </i>
    <i>
      <x v="4"/>
    </i>
    <i>
      <x/>
    </i>
    <i>
      <x v="5"/>
    </i>
    <i>
      <x v="6"/>
    </i>
    <i t="grand">
      <x/>
    </i>
  </rowItems>
  <colFields count="1">
    <field x="-2"/>
  </colFields>
  <colItems count="2">
    <i>
      <x/>
    </i>
    <i i="1">
      <x v="1"/>
    </i>
  </colItems>
  <dataFields count="2">
    <dataField name="Average of tenure" fld="4" subtotal="average" baseField="0" baseItem="9" numFmtId="164"/>
    <dataField name="Average of Customer_satisfaction" fld="13" subtotal="average" baseField="0" baseItem="1" numFmtId="164"/>
  </dataFields>
  <formats count="1">
    <format dxfId="0">
      <pivotArea collapsedLevelsAreSubtotals="1" fieldPosition="0">
        <references count="2">
          <reference field="4294967294" count="1" selected="0">
            <x v="0"/>
          </reference>
          <reference field="1" count="0"/>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8F440D-1174-4503-BDB6-E4C4133EF8E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7" firstHeaderRow="1"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pivotField showAll="0"/>
    <pivotField axis="axisRow" showAll="0" sortType="ascending">
      <items count="4">
        <item x="1"/>
        <item x="0"/>
        <item x="2"/>
        <item t="default"/>
      </items>
      <autoSortScope>
        <pivotArea dataOnly="0" outline="0" fieldPosition="0">
          <references count="1">
            <reference field="4294967294" count="1" selected="0">
              <x v="0"/>
            </reference>
          </references>
        </pivotArea>
      </autoSortScope>
    </pivotField>
    <pivotField showAll="0"/>
    <pivotField numFmtId="1" showAll="0"/>
    <pivotField dataField="1" numFmtId="45" showAll="0"/>
    <pivotField showAll="0"/>
    <pivotField showAll="0"/>
  </pivotFields>
  <rowFields count="1">
    <field x="8"/>
  </rowFields>
  <rowItems count="4">
    <i>
      <x v="2"/>
    </i>
    <i>
      <x/>
    </i>
    <i>
      <x v="1"/>
    </i>
    <i t="grand">
      <x/>
    </i>
  </rowItems>
  <colItems count="1">
    <i/>
  </colItems>
  <dataFields count="1">
    <dataField name="Average of avg_ht_in_minutes" fld="11" subtotal="average" baseField="8" baseItem="0" numFmtId="45"/>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3FB77F-B715-43DA-9923-0BBD4B52AEC1}"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axis="axisRow" showAll="0">
      <items count="8">
        <item x="0"/>
        <item x="3"/>
        <item x="5"/>
        <item x="2"/>
        <item x="4"/>
        <item x="1"/>
        <item x="6"/>
        <item t="default"/>
      </items>
    </pivotField>
    <pivotField showAll="0"/>
    <pivotField showAll="0"/>
    <pivotField dataField="1" showAll="0"/>
    <pivotField numFmtId="1" showAll="0"/>
    <pivotField numFmtId="45" showAll="0"/>
    <pivotField showAll="0"/>
    <pivotField showAll="0"/>
  </pivotFields>
  <rowFields count="1">
    <field x="6"/>
  </rowFields>
  <rowItems count="8">
    <i>
      <x/>
    </i>
    <i>
      <x v="1"/>
    </i>
    <i>
      <x v="2"/>
    </i>
    <i>
      <x v="3"/>
    </i>
    <i>
      <x v="4"/>
    </i>
    <i>
      <x v="5"/>
    </i>
    <i>
      <x v="6"/>
    </i>
    <i t="grand">
      <x/>
    </i>
  </rowItems>
  <colItems count="1">
    <i/>
  </colItems>
  <dataFields count="1">
    <dataField name="Sum of calls_handled" fld="9"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5"/>
          </reference>
        </references>
      </pivotArea>
    </chartFormat>
    <chartFormat chart="0" format="2">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2F8564-C2F0-46A7-9688-813E3CA6471B}"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C9" firstHeaderRow="0"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axis="axisRow" showAll="0">
      <items count="8">
        <item x="0"/>
        <item x="3"/>
        <item x="5"/>
        <item x="2"/>
        <item x="4"/>
        <item x="1"/>
        <item x="6"/>
        <item t="default"/>
      </items>
    </pivotField>
    <pivotField showAll="0"/>
    <pivotField showAll="0"/>
    <pivotField dataField="1" showAll="0"/>
    <pivotField numFmtId="1" showAll="0"/>
    <pivotField numFmtId="45" showAll="0"/>
    <pivotField dataField="1" showAll="0"/>
    <pivotField showAll="0"/>
  </pivotFields>
  <rowFields count="1">
    <field x="6"/>
  </rowFields>
  <rowItems count="8">
    <i>
      <x/>
    </i>
    <i>
      <x v="1"/>
    </i>
    <i>
      <x v="2"/>
    </i>
    <i>
      <x v="3"/>
    </i>
    <i>
      <x v="4"/>
    </i>
    <i>
      <x v="5"/>
    </i>
    <i>
      <x v="6"/>
    </i>
    <i t="grand">
      <x/>
    </i>
  </rowItems>
  <colFields count="1">
    <field x="-2"/>
  </colFields>
  <colItems count="2">
    <i>
      <x/>
    </i>
    <i i="1">
      <x v="1"/>
    </i>
  </colItems>
  <dataFields count="2">
    <dataField name="Sum of calls_handled" fld="9" baseField="0" baseItem="0"/>
    <dataField name="Average of avg_queue_time" fld="12" subtotal="average" baseField="6" baseItem="1" numFmtId="164"/>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5"/>
          </reference>
        </references>
      </pivotArea>
    </chartFormat>
    <chartFormat chart="0" format="2">
      <pivotArea type="data" outline="0" fieldPosition="0">
        <references count="2">
          <reference field="4294967294" count="1" selected="0">
            <x v="0"/>
          </reference>
          <reference field="6" count="1" selected="0">
            <x v="6"/>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pivotArea type="data" outline="0" fieldPosition="0">
        <references count="2">
          <reference field="4294967294" count="1" selected="0">
            <x v="0"/>
          </reference>
          <reference field="6" count="1" selected="0">
            <x v="5"/>
          </reference>
        </references>
      </pivotArea>
    </chartFormat>
    <chartFormat chart="1" format="3">
      <pivotArea type="data" outline="0" fieldPosition="0">
        <references count="2">
          <reference field="4294967294" count="1" selected="0">
            <x v="0"/>
          </reference>
          <reference field="6" count="1" selected="0">
            <x v="6"/>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6" count="1" selected="0">
            <x v="5"/>
          </reference>
        </references>
      </pivotArea>
    </chartFormat>
    <chartFormat chart="3" format="10">
      <pivotArea type="data" outline="0" fieldPosition="0">
        <references count="2">
          <reference field="4294967294" count="1" selected="0">
            <x v="0"/>
          </reference>
          <reference field="6" count="1" selected="0">
            <x v="6"/>
          </reference>
        </references>
      </pivotArea>
    </chartFormat>
    <chartFormat chart="3" format="11" series="1">
      <pivotArea type="data" outline="0" fieldPosition="0">
        <references count="1">
          <reference field="4294967294" count="1" selected="0">
            <x v="1"/>
          </reference>
        </references>
      </pivotArea>
    </chartFormat>
    <chartFormat chart="1" format="4">
      <pivotArea type="data" outline="0" fieldPosition="0">
        <references count="2">
          <reference field="4294967294" count="1" selected="0">
            <x v="1"/>
          </reference>
          <reference field="6" count="1" selected="0">
            <x v="5"/>
          </reference>
        </references>
      </pivotArea>
    </chartFormat>
    <chartFormat chart="1" format="5">
      <pivotArea type="data" outline="0" fieldPosition="0">
        <references count="2">
          <reference field="4294967294" count="1" selected="0">
            <x v="1"/>
          </reference>
          <reference field="6" count="1" selected="0">
            <x v="6"/>
          </reference>
        </references>
      </pivotArea>
    </chartFormat>
    <chartFormat chart="3" format="12">
      <pivotArea type="data" outline="0" fieldPosition="0">
        <references count="2">
          <reference field="4294967294" count="1" selected="0">
            <x v="1"/>
          </reference>
          <reference field="6" count="1" selected="0">
            <x v="5"/>
          </reference>
        </references>
      </pivotArea>
    </chartFormat>
    <chartFormat chart="3" format="13">
      <pivotArea type="data" outline="0" fieldPosition="0">
        <references count="2">
          <reference field="4294967294" count="1" selected="0">
            <x v="1"/>
          </reference>
          <reference field="6" count="1" selected="0">
            <x v="6"/>
          </reference>
        </references>
      </pivotArea>
    </chartFormat>
    <chartFormat chart="5" format="18" series="1">
      <pivotArea type="data" outline="0" fieldPosition="0">
        <references count="1">
          <reference field="4294967294" count="1" selected="0">
            <x v="0"/>
          </reference>
        </references>
      </pivotArea>
    </chartFormat>
    <chartFormat chart="5" format="19">
      <pivotArea type="data" outline="0" fieldPosition="0">
        <references count="2">
          <reference field="4294967294" count="1" selected="0">
            <x v="0"/>
          </reference>
          <reference field="6" count="1" selected="0">
            <x v="5"/>
          </reference>
        </references>
      </pivotArea>
    </chartFormat>
    <chartFormat chart="5" format="20">
      <pivotArea type="data" outline="0" fieldPosition="0">
        <references count="2">
          <reference field="4294967294" count="1" selected="0">
            <x v="0"/>
          </reference>
          <reference field="6" count="1" selected="0">
            <x v="6"/>
          </reference>
        </references>
      </pivotArea>
    </chartFormat>
    <chartFormat chart="5" format="2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F303227-5477-4497-934F-889A2A4E7D03}" name="PivotTable2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8:C36" firstHeaderRow="0"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axis="axisRow" showAll="0">
      <items count="8">
        <item x="0"/>
        <item x="3"/>
        <item x="5"/>
        <item x="2"/>
        <item x="4"/>
        <item x="1"/>
        <item x="6"/>
        <item t="default"/>
      </items>
    </pivotField>
    <pivotField showAll="0"/>
    <pivotField showAll="0"/>
    <pivotField showAll="0"/>
    <pivotField numFmtId="1" showAll="0"/>
    <pivotField dataField="1" numFmtId="45" showAll="0"/>
    <pivotField dataField="1" showAll="0"/>
    <pivotField showAll="0"/>
  </pivotFields>
  <rowFields count="1">
    <field x="6"/>
  </rowFields>
  <rowItems count="8">
    <i>
      <x/>
    </i>
    <i>
      <x v="1"/>
    </i>
    <i>
      <x v="2"/>
    </i>
    <i>
      <x v="3"/>
    </i>
    <i>
      <x v="4"/>
    </i>
    <i>
      <x v="5"/>
    </i>
    <i>
      <x v="6"/>
    </i>
    <i t="grand">
      <x/>
    </i>
  </rowItems>
  <colFields count="1">
    <field x="-2"/>
  </colFields>
  <colItems count="2">
    <i>
      <x/>
    </i>
    <i i="1">
      <x v="1"/>
    </i>
  </colItems>
  <dataFields count="2">
    <dataField name="Average of avg_queue_time" fld="12" subtotal="average" baseField="6" baseItem="1" numFmtId="164"/>
    <dataField name="Average of avg_ht_in_minutes" fld="11" subtotal="average" baseField="6" baseItem="0" numFmtId="45"/>
  </dataFields>
  <chartFormats count="3">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319603E-4C9C-4985-847F-BA89C6586B98}" name="PivotTable3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C9" firstHeaderRow="0"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axis="axisRow" showAll="0">
      <items count="8">
        <item x="0"/>
        <item x="3"/>
        <item x="5"/>
        <item x="2"/>
        <item x="4"/>
        <item x="1"/>
        <item x="6"/>
        <item t="default"/>
      </items>
    </pivotField>
    <pivotField showAll="0"/>
    <pivotField showAll="0"/>
    <pivotField dataField="1" showAll="0"/>
    <pivotField numFmtId="1" showAll="0"/>
    <pivotField numFmtId="45" showAll="0"/>
    <pivotField dataField="1" showAll="0"/>
    <pivotField showAll="0"/>
  </pivotFields>
  <rowFields count="1">
    <field x="6"/>
  </rowFields>
  <rowItems count="8">
    <i>
      <x/>
    </i>
    <i>
      <x v="1"/>
    </i>
    <i>
      <x v="2"/>
    </i>
    <i>
      <x v="3"/>
    </i>
    <i>
      <x v="4"/>
    </i>
    <i>
      <x v="5"/>
    </i>
    <i>
      <x v="6"/>
    </i>
    <i t="grand">
      <x/>
    </i>
  </rowItems>
  <colFields count="1">
    <field x="-2"/>
  </colFields>
  <colItems count="2">
    <i>
      <x/>
    </i>
    <i i="1">
      <x v="1"/>
    </i>
  </colItems>
  <dataFields count="2">
    <dataField name="Sum of calls_handled" fld="9" baseField="0" baseItem="0"/>
    <dataField name="Average of avg_queue_time" fld="12" subtotal="average" baseField="6" baseItem="1" numFmtId="164"/>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5"/>
          </reference>
        </references>
      </pivotArea>
    </chartFormat>
    <chartFormat chart="0" format="2">
      <pivotArea type="data" outline="0" fieldPosition="0">
        <references count="2">
          <reference field="4294967294" count="1" selected="0">
            <x v="0"/>
          </reference>
          <reference field="6" count="1" selected="0">
            <x v="6"/>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pivotArea type="data" outline="0" fieldPosition="0">
        <references count="2">
          <reference field="4294967294" count="1" selected="0">
            <x v="0"/>
          </reference>
          <reference field="6" count="1" selected="0">
            <x v="5"/>
          </reference>
        </references>
      </pivotArea>
    </chartFormat>
    <chartFormat chart="1" format="3">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45CC68B-1F81-4D7D-A629-C3FB12247B66}" name="PivotTable3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23:C31" firstHeaderRow="0"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axis="axisRow" showAll="0">
      <items count="8">
        <item x="0"/>
        <item x="3"/>
        <item x="5"/>
        <item x="2"/>
        <item x="4"/>
        <item x="1"/>
        <item x="6"/>
        <item t="default"/>
      </items>
    </pivotField>
    <pivotField showAll="0"/>
    <pivotField showAll="0"/>
    <pivotField dataField="1" showAll="0"/>
    <pivotField numFmtId="1" showAll="0"/>
    <pivotField numFmtId="45" showAll="0"/>
    <pivotField showAll="0"/>
    <pivotField dataField="1" showAll="0"/>
  </pivotFields>
  <rowFields count="1">
    <field x="6"/>
  </rowFields>
  <rowItems count="8">
    <i>
      <x/>
    </i>
    <i>
      <x v="1"/>
    </i>
    <i>
      <x v="2"/>
    </i>
    <i>
      <x v="3"/>
    </i>
    <i>
      <x v="4"/>
    </i>
    <i>
      <x v="5"/>
    </i>
    <i>
      <x v="6"/>
    </i>
    <i t="grand">
      <x/>
    </i>
  </rowItems>
  <colFields count="1">
    <field x="-2"/>
  </colFields>
  <colItems count="2">
    <i>
      <x/>
    </i>
    <i i="1">
      <x v="1"/>
    </i>
  </colItems>
  <dataFields count="2">
    <dataField name="Sum of calls_handled" fld="9" baseField="0" baseItem="0"/>
    <dataField name="Average of Customer Rating" fld="13" subtotal="average" baseField="6" baseItem="0" numFmtId="164"/>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5"/>
          </reference>
        </references>
      </pivotArea>
    </chartFormat>
    <chartFormat chart="0" format="2">
      <pivotArea type="data" outline="0" fieldPosition="0">
        <references count="2">
          <reference field="4294967294" count="1" selected="0">
            <x v="0"/>
          </reference>
          <reference field="6" count="1" selected="0">
            <x v="6"/>
          </reference>
        </references>
      </pivotArea>
    </chartFormat>
    <chartFormat chart="1" format="0"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6" count="1" selected="0">
            <x v="5"/>
          </reference>
        </references>
      </pivotArea>
    </chartFormat>
    <chartFormat chart="1" format="3">
      <pivotArea type="data" outline="0" fieldPosition="0">
        <references count="2">
          <reference field="4294967294" count="1" selected="0">
            <x v="0"/>
          </reference>
          <reference field="6" count="1" selected="0">
            <x v="6"/>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pivotArea type="data" outline="0" fieldPosition="0">
        <references count="2">
          <reference field="4294967294" count="1" selected="0">
            <x v="1"/>
          </reference>
          <reference field="6" count="1" selected="0">
            <x v="5"/>
          </reference>
        </references>
      </pivotArea>
    </chartFormat>
    <chartFormat chart="3" format="3">
      <pivotArea type="data" outline="0" fieldPosition="0">
        <references count="2">
          <reference field="4294967294" count="1" selected="0">
            <x v="1"/>
          </reference>
          <reference field="6" count="1" selected="0">
            <x v="6"/>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 chart="9" format="10">
      <pivotArea type="data" outline="0" fieldPosition="0">
        <references count="2">
          <reference field="4294967294" count="1" selected="0">
            <x v="1"/>
          </reference>
          <reference field="6" count="1" selected="0">
            <x v="5"/>
          </reference>
        </references>
      </pivotArea>
    </chartFormat>
    <chartFormat chart="9" format="11">
      <pivotArea type="data" outline="0" fieldPosition="0">
        <references count="2">
          <reference field="4294967294" count="1" selected="0">
            <x v="1"/>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5B4BBEC-CB23-468A-8BC9-78665AABBF56}"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35:D39" firstHeaderRow="0"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items count="8">
        <item x="0"/>
        <item x="3"/>
        <item x="5"/>
        <item x="2"/>
        <item x="4"/>
        <item x="1"/>
        <item x="6"/>
        <item t="default"/>
      </items>
    </pivotField>
    <pivotField showAll="0"/>
    <pivotField axis="axisRow" showAll="0">
      <items count="4">
        <item x="1"/>
        <item x="0"/>
        <item x="2"/>
        <item t="default"/>
      </items>
    </pivotField>
    <pivotField dataField="1" showAll="0"/>
    <pivotField numFmtId="1" showAll="0"/>
    <pivotField numFmtId="45" showAll="0"/>
    <pivotField dataField="1" showAll="0"/>
    <pivotField showAll="0"/>
  </pivotFields>
  <rowFields count="1">
    <field x="8"/>
  </rowFields>
  <rowItems count="4">
    <i>
      <x/>
    </i>
    <i>
      <x v="1"/>
    </i>
    <i>
      <x v="2"/>
    </i>
    <i t="grand">
      <x/>
    </i>
  </rowItems>
  <colFields count="1">
    <field x="-2"/>
  </colFields>
  <colItems count="2">
    <i>
      <x/>
    </i>
    <i i="1">
      <x v="1"/>
    </i>
  </colItems>
  <dataFields count="2">
    <dataField name="Average of calls_handled" fld="9" subtotal="average" baseField="8" baseItem="0" numFmtId="2"/>
    <dataField name="Average of avg_queue_time" fld="12" subtotal="average" baseField="6" baseItem="3" numFmtId="2"/>
  </dataFields>
  <chartFormats count="7">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C3111E8-9262-4D49-B8AC-73C0E5D18458}"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2:B3" firstHeaderRow="1" firstDataRow="1" firstDataCol="0"/>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items count="8">
        <item x="0"/>
        <item x="3"/>
        <item x="5"/>
        <item x="2"/>
        <item x="4"/>
        <item x="1"/>
        <item x="6"/>
        <item t="default"/>
      </items>
    </pivotField>
    <pivotField showAll="0"/>
    <pivotField showAll="0"/>
    <pivotField dataField="1" showAll="0">
      <items count="40">
        <item x="9"/>
        <item x="38"/>
        <item x="29"/>
        <item x="36"/>
        <item x="28"/>
        <item x="3"/>
        <item x="30"/>
        <item x="34"/>
        <item x="32"/>
        <item x="27"/>
        <item x="37"/>
        <item x="5"/>
        <item x="2"/>
        <item x="26"/>
        <item x="10"/>
        <item x="33"/>
        <item x="12"/>
        <item x="25"/>
        <item x="11"/>
        <item x="24"/>
        <item x="7"/>
        <item x="17"/>
        <item x="18"/>
        <item x="22"/>
        <item x="21"/>
        <item x="15"/>
        <item x="13"/>
        <item x="6"/>
        <item x="0"/>
        <item x="35"/>
        <item x="20"/>
        <item x="1"/>
        <item x="23"/>
        <item x="19"/>
        <item x="14"/>
        <item x="16"/>
        <item x="8"/>
        <item x="31"/>
        <item x="4"/>
        <item t="default"/>
      </items>
    </pivotField>
    <pivotField numFmtId="1" showAll="0"/>
    <pivotField numFmtId="45" showAll="0"/>
    <pivotField showAll="0"/>
    <pivotField showAll="0"/>
  </pivotFields>
  <rowItems count="1">
    <i/>
  </rowItems>
  <colItems count="1">
    <i/>
  </colItems>
  <dataFields count="1">
    <dataField name="Sum of calls_handl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6A097E4-2301-4927-B4B5-B0DCDDF233E5}"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5:B6" firstHeaderRow="1" firstDataRow="1" firstDataCol="0"/>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items count="8">
        <item x="0"/>
        <item x="3"/>
        <item x="5"/>
        <item x="2"/>
        <item x="4"/>
        <item x="1"/>
        <item x="6"/>
        <item t="default"/>
      </items>
    </pivotField>
    <pivotField showAll="0"/>
    <pivotField showAll="0"/>
    <pivotField showAll="0">
      <items count="40">
        <item x="9"/>
        <item x="38"/>
        <item x="29"/>
        <item x="36"/>
        <item x="28"/>
        <item x="3"/>
        <item x="30"/>
        <item x="34"/>
        <item x="32"/>
        <item x="27"/>
        <item x="37"/>
        <item x="5"/>
        <item x="2"/>
        <item x="26"/>
        <item x="10"/>
        <item x="33"/>
        <item x="12"/>
        <item x="25"/>
        <item x="11"/>
        <item x="24"/>
        <item x="7"/>
        <item x="17"/>
        <item x="18"/>
        <item x="22"/>
        <item x="21"/>
        <item x="15"/>
        <item x="13"/>
        <item x="6"/>
        <item x="0"/>
        <item x="35"/>
        <item x="20"/>
        <item x="1"/>
        <item x="23"/>
        <item x="19"/>
        <item x="14"/>
        <item x="16"/>
        <item x="8"/>
        <item x="31"/>
        <item x="4"/>
        <item t="default"/>
      </items>
    </pivotField>
    <pivotField numFmtId="1" showAll="0"/>
    <pivotField numFmtId="45" showAll="0"/>
    <pivotField dataField="1" showAll="0"/>
    <pivotField showAll="0"/>
  </pivotFields>
  <rowItems count="1">
    <i/>
  </rowItems>
  <colItems count="1">
    <i/>
  </colItems>
  <dataFields count="1">
    <dataField name="Average of avg_queue_time" fld="12" subtotal="average" baseField="0" baseItem="9"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4CE1214-9990-4258-A7F3-AF1F02112442}"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B46:C50" firstHeaderRow="1"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items count="8">
        <item x="0"/>
        <item x="3"/>
        <item x="5"/>
        <item x="2"/>
        <item x="4"/>
        <item x="1"/>
        <item x="6"/>
        <item t="default"/>
      </items>
    </pivotField>
    <pivotField showAll="0"/>
    <pivotField axis="axisRow" showAll="0" sortType="ascending">
      <items count="4">
        <item x="1"/>
        <item x="0"/>
        <item x="2"/>
        <item t="default"/>
      </items>
      <autoSortScope>
        <pivotArea dataOnly="0" outline="0" fieldPosition="0">
          <references count="1">
            <reference field="4294967294" count="1" selected="0">
              <x v="0"/>
            </reference>
          </references>
        </pivotArea>
      </autoSortScope>
    </pivotField>
    <pivotField showAll="0"/>
    <pivotField numFmtId="1" showAll="0"/>
    <pivotField dataField="1" numFmtId="45" showAll="0"/>
    <pivotField showAll="0"/>
    <pivotField showAll="0"/>
  </pivotFields>
  <rowFields count="1">
    <field x="8"/>
  </rowFields>
  <rowItems count="4">
    <i>
      <x v="2"/>
    </i>
    <i>
      <x/>
    </i>
    <i>
      <x v="1"/>
    </i>
    <i t="grand">
      <x/>
    </i>
  </rowItems>
  <colItems count="1">
    <i/>
  </colItems>
  <dataFields count="1">
    <dataField name="Average of avg_ht_in_minutes" fld="11" subtotal="average" baseField="8" baseItem="0" numFmtId="45"/>
  </dataFields>
  <chartFormats count="2">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AB325C0-F0C8-4B27-8325-2751DB67E741}"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28:C32" firstHeaderRow="1"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items count="8">
        <item x="0"/>
        <item x="3"/>
        <item x="5"/>
        <item x="2"/>
        <item x="4"/>
        <item x="1"/>
        <item x="6"/>
        <item t="default"/>
      </items>
    </pivotField>
    <pivotField showAll="0"/>
    <pivotField axis="axisRow" showAll="0" sortType="ascending">
      <items count="4">
        <item x="1"/>
        <item x="0"/>
        <item x="2"/>
        <item t="default"/>
      </items>
      <autoSortScope>
        <pivotArea dataOnly="0" outline="0" fieldPosition="0">
          <references count="1">
            <reference field="4294967294" count="1" selected="0">
              <x v="0"/>
            </reference>
          </references>
        </pivotArea>
      </autoSortScope>
    </pivotField>
    <pivotField showAll="0">
      <items count="40">
        <item x="9"/>
        <item x="38"/>
        <item x="29"/>
        <item x="36"/>
        <item x="28"/>
        <item x="3"/>
        <item x="30"/>
        <item x="34"/>
        <item x="32"/>
        <item x="27"/>
        <item x="37"/>
        <item x="5"/>
        <item x="2"/>
        <item x="26"/>
        <item x="10"/>
        <item x="33"/>
        <item x="12"/>
        <item x="25"/>
        <item x="11"/>
        <item x="24"/>
        <item x="7"/>
        <item x="17"/>
        <item x="18"/>
        <item x="22"/>
        <item x="21"/>
        <item x="15"/>
        <item x="13"/>
        <item x="6"/>
        <item x="0"/>
        <item x="35"/>
        <item x="20"/>
        <item x="1"/>
        <item x="23"/>
        <item x="19"/>
        <item x="14"/>
        <item x="16"/>
        <item x="8"/>
        <item x="31"/>
        <item x="4"/>
        <item t="default"/>
      </items>
    </pivotField>
    <pivotField numFmtId="1" showAll="0"/>
    <pivotField numFmtId="45" showAll="0">
      <items count="233">
        <item x="170"/>
        <item x="222"/>
        <item x="223"/>
        <item x="88"/>
        <item x="219"/>
        <item x="41"/>
        <item x="169"/>
        <item x="46"/>
        <item x="226"/>
        <item x="23"/>
        <item x="77"/>
        <item x="19"/>
        <item x="83"/>
        <item x="11"/>
        <item x="157"/>
        <item x="207"/>
        <item x="25"/>
        <item x="8"/>
        <item x="205"/>
        <item x="22"/>
        <item x="161"/>
        <item x="3"/>
        <item x="36"/>
        <item x="27"/>
        <item x="69"/>
        <item x="26"/>
        <item x="47"/>
        <item x="78"/>
        <item x="73"/>
        <item x="128"/>
        <item x="202"/>
        <item x="43"/>
        <item x="38"/>
        <item x="213"/>
        <item x="212"/>
        <item x="210"/>
        <item x="60"/>
        <item x="119"/>
        <item x="37"/>
        <item x="76"/>
        <item x="162"/>
        <item x="136"/>
        <item x="40"/>
        <item x="204"/>
        <item x="100"/>
        <item x="93"/>
        <item x="145"/>
        <item x="9"/>
        <item x="91"/>
        <item x="109"/>
        <item x="21"/>
        <item x="42"/>
        <item x="51"/>
        <item x="172"/>
        <item x="113"/>
        <item x="67"/>
        <item x="184"/>
        <item x="29"/>
        <item x="72"/>
        <item x="147"/>
        <item x="143"/>
        <item x="86"/>
        <item x="59"/>
        <item x="39"/>
        <item x="198"/>
        <item x="201"/>
        <item x="177"/>
        <item x="175"/>
        <item x="4"/>
        <item x="200"/>
        <item x="70"/>
        <item x="96"/>
        <item x="197"/>
        <item x="87"/>
        <item x="192"/>
        <item x="138"/>
        <item x="28"/>
        <item x="74"/>
        <item x="120"/>
        <item x="174"/>
        <item x="221"/>
        <item x="123"/>
        <item x="182"/>
        <item x="193"/>
        <item x="13"/>
        <item x="154"/>
        <item x="124"/>
        <item x="71"/>
        <item x="127"/>
        <item x="48"/>
        <item x="16"/>
        <item x="131"/>
        <item x="53"/>
        <item x="99"/>
        <item x="84"/>
        <item x="65"/>
        <item x="216"/>
        <item x="121"/>
        <item x="58"/>
        <item x="118"/>
        <item x="214"/>
        <item x="144"/>
        <item x="90"/>
        <item x="179"/>
        <item x="12"/>
        <item x="126"/>
        <item x="211"/>
        <item x="229"/>
        <item x="114"/>
        <item x="159"/>
        <item x="224"/>
        <item x="187"/>
        <item x="225"/>
        <item x="103"/>
        <item x="215"/>
        <item x="49"/>
        <item x="148"/>
        <item x="181"/>
        <item x="34"/>
        <item x="180"/>
        <item x="146"/>
        <item x="2"/>
        <item x="24"/>
        <item x="137"/>
        <item x="209"/>
        <item x="167"/>
        <item x="7"/>
        <item x="81"/>
        <item x="102"/>
        <item x="149"/>
        <item x="94"/>
        <item x="89"/>
        <item x="140"/>
        <item x="10"/>
        <item x="158"/>
        <item x="110"/>
        <item x="168"/>
        <item x="80"/>
        <item x="188"/>
        <item x="135"/>
        <item x="153"/>
        <item x="108"/>
        <item x="98"/>
        <item x="79"/>
        <item x="150"/>
        <item x="15"/>
        <item x="199"/>
        <item x="101"/>
        <item x="117"/>
        <item x="165"/>
        <item x="61"/>
        <item x="0"/>
        <item x="194"/>
        <item x="95"/>
        <item x="141"/>
        <item x="116"/>
        <item x="142"/>
        <item x="68"/>
        <item x="163"/>
        <item x="56"/>
        <item x="20"/>
        <item x="190"/>
        <item x="50"/>
        <item x="106"/>
        <item x="63"/>
        <item x="228"/>
        <item x="166"/>
        <item x="66"/>
        <item x="155"/>
        <item x="97"/>
        <item x="230"/>
        <item x="208"/>
        <item x="130"/>
        <item x="206"/>
        <item x="35"/>
        <item x="17"/>
        <item x="203"/>
        <item x="44"/>
        <item x="115"/>
        <item x="139"/>
        <item x="14"/>
        <item x="185"/>
        <item x="92"/>
        <item x="64"/>
        <item x="196"/>
        <item x="30"/>
        <item x="152"/>
        <item x="160"/>
        <item x="220"/>
        <item x="82"/>
        <item x="107"/>
        <item x="218"/>
        <item x="134"/>
        <item x="1"/>
        <item x="54"/>
        <item x="62"/>
        <item x="33"/>
        <item x="173"/>
        <item x="32"/>
        <item x="176"/>
        <item x="227"/>
        <item x="133"/>
        <item x="156"/>
        <item x="104"/>
        <item x="122"/>
        <item x="191"/>
        <item x="75"/>
        <item x="111"/>
        <item x="18"/>
        <item x="85"/>
        <item x="183"/>
        <item x="178"/>
        <item x="112"/>
        <item x="231"/>
        <item x="129"/>
        <item x="217"/>
        <item x="189"/>
        <item x="151"/>
        <item x="55"/>
        <item x="6"/>
        <item x="5"/>
        <item x="125"/>
        <item x="186"/>
        <item x="164"/>
        <item x="132"/>
        <item x="45"/>
        <item x="57"/>
        <item x="31"/>
        <item x="171"/>
        <item x="105"/>
        <item x="52"/>
        <item x="195"/>
        <item t="default"/>
      </items>
    </pivotField>
    <pivotField showAll="0"/>
    <pivotField dataField="1" showAll="0"/>
  </pivotFields>
  <rowFields count="1">
    <field x="8"/>
  </rowFields>
  <rowItems count="4">
    <i>
      <x v="2"/>
    </i>
    <i>
      <x v="1"/>
    </i>
    <i>
      <x/>
    </i>
    <i t="grand">
      <x/>
    </i>
  </rowItems>
  <colItems count="1">
    <i/>
  </colItems>
  <dataFields count="1">
    <dataField name="Average of Customer_satisfaction" fld="13" subtotal="average" baseField="8" baseItem="0" numFmtId="2"/>
  </dataFields>
  <chartFormats count="9">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8" count="1" selected="0">
            <x v="2"/>
          </reference>
        </references>
      </pivotArea>
    </chartFormat>
    <chartFormat chart="11" format="7">
      <pivotArea type="data" outline="0" fieldPosition="0">
        <references count="2">
          <reference field="4294967294" count="1" selected="0">
            <x v="0"/>
          </reference>
          <reference field="8" count="1" selected="0">
            <x v="1"/>
          </reference>
        </references>
      </pivotArea>
    </chartFormat>
    <chartFormat chart="11" format="8">
      <pivotArea type="data" outline="0" fieldPosition="0">
        <references count="2">
          <reference field="4294967294" count="1" selected="0">
            <x v="0"/>
          </reference>
          <reference field="8" count="1" selected="0">
            <x v="0"/>
          </reference>
        </references>
      </pivotArea>
    </chartFormat>
    <chartFormat chart="7" format="1">
      <pivotArea type="data" outline="0" fieldPosition="0">
        <references count="2">
          <reference field="4294967294" count="1" selected="0">
            <x v="0"/>
          </reference>
          <reference field="8" count="1" selected="0">
            <x v="2"/>
          </reference>
        </references>
      </pivotArea>
    </chartFormat>
    <chartFormat chart="7" format="2">
      <pivotArea type="data" outline="0" fieldPosition="0">
        <references count="2">
          <reference field="4294967294" count="1" selected="0">
            <x v="0"/>
          </reference>
          <reference field="8" count="1" selected="0">
            <x v="1"/>
          </reference>
        </references>
      </pivotArea>
    </chartFormat>
    <chartFormat chart="7" format="3">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58C98BF-95E6-4970-BE00-1F9653E826C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14:C18" firstHeaderRow="1"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items count="8">
        <item x="0"/>
        <item x="3"/>
        <item x="5"/>
        <item x="2"/>
        <item x="4"/>
        <item x="1"/>
        <item x="6"/>
        <item t="default"/>
      </items>
    </pivotField>
    <pivotField showAll="0"/>
    <pivotField axis="axisRow" showAll="0" sortType="ascending">
      <items count="4">
        <item x="1"/>
        <item x="0"/>
        <item x="2"/>
        <item t="default"/>
      </items>
      <autoSortScope>
        <pivotArea dataOnly="0" outline="0" fieldPosition="0">
          <references count="1">
            <reference field="4294967294" count="1" selected="0">
              <x v="0"/>
            </reference>
          </references>
        </pivotArea>
      </autoSortScope>
    </pivotField>
    <pivotField dataField="1" showAll="0">
      <items count="40">
        <item x="9"/>
        <item x="38"/>
        <item x="29"/>
        <item x="36"/>
        <item x="28"/>
        <item x="3"/>
        <item x="30"/>
        <item x="34"/>
        <item x="32"/>
        <item x="27"/>
        <item x="37"/>
        <item x="5"/>
        <item x="2"/>
        <item x="26"/>
        <item x="10"/>
        <item x="33"/>
        <item x="12"/>
        <item x="25"/>
        <item x="11"/>
        <item x="24"/>
        <item x="7"/>
        <item x="17"/>
        <item x="18"/>
        <item x="22"/>
        <item x="21"/>
        <item x="15"/>
        <item x="13"/>
        <item x="6"/>
        <item x="0"/>
        <item x="35"/>
        <item x="20"/>
        <item x="1"/>
        <item x="23"/>
        <item x="19"/>
        <item x="14"/>
        <item x="16"/>
        <item x="8"/>
        <item x="31"/>
        <item x="4"/>
        <item t="default"/>
      </items>
    </pivotField>
    <pivotField numFmtId="1" showAll="0"/>
    <pivotField numFmtId="45" showAll="0">
      <items count="233">
        <item x="170"/>
        <item x="222"/>
        <item x="223"/>
        <item x="88"/>
        <item x="219"/>
        <item x="41"/>
        <item x="169"/>
        <item x="46"/>
        <item x="226"/>
        <item x="23"/>
        <item x="77"/>
        <item x="19"/>
        <item x="83"/>
        <item x="11"/>
        <item x="157"/>
        <item x="207"/>
        <item x="25"/>
        <item x="8"/>
        <item x="205"/>
        <item x="22"/>
        <item x="161"/>
        <item x="3"/>
        <item x="36"/>
        <item x="27"/>
        <item x="69"/>
        <item x="26"/>
        <item x="47"/>
        <item x="78"/>
        <item x="73"/>
        <item x="128"/>
        <item x="202"/>
        <item x="43"/>
        <item x="38"/>
        <item x="213"/>
        <item x="212"/>
        <item x="210"/>
        <item x="60"/>
        <item x="119"/>
        <item x="37"/>
        <item x="76"/>
        <item x="162"/>
        <item x="136"/>
        <item x="40"/>
        <item x="204"/>
        <item x="100"/>
        <item x="93"/>
        <item x="145"/>
        <item x="9"/>
        <item x="91"/>
        <item x="109"/>
        <item x="21"/>
        <item x="42"/>
        <item x="51"/>
        <item x="172"/>
        <item x="113"/>
        <item x="67"/>
        <item x="184"/>
        <item x="29"/>
        <item x="72"/>
        <item x="147"/>
        <item x="143"/>
        <item x="86"/>
        <item x="59"/>
        <item x="39"/>
        <item x="198"/>
        <item x="201"/>
        <item x="177"/>
        <item x="175"/>
        <item x="4"/>
        <item x="200"/>
        <item x="70"/>
        <item x="96"/>
        <item x="197"/>
        <item x="87"/>
        <item x="192"/>
        <item x="138"/>
        <item x="28"/>
        <item x="74"/>
        <item x="120"/>
        <item x="174"/>
        <item x="221"/>
        <item x="123"/>
        <item x="182"/>
        <item x="193"/>
        <item x="13"/>
        <item x="154"/>
        <item x="124"/>
        <item x="71"/>
        <item x="127"/>
        <item x="48"/>
        <item x="16"/>
        <item x="131"/>
        <item x="53"/>
        <item x="99"/>
        <item x="84"/>
        <item x="65"/>
        <item x="216"/>
        <item x="121"/>
        <item x="58"/>
        <item x="118"/>
        <item x="214"/>
        <item x="144"/>
        <item x="90"/>
        <item x="179"/>
        <item x="12"/>
        <item x="126"/>
        <item x="211"/>
        <item x="229"/>
        <item x="114"/>
        <item x="159"/>
        <item x="224"/>
        <item x="187"/>
        <item x="225"/>
        <item x="103"/>
        <item x="215"/>
        <item x="49"/>
        <item x="148"/>
        <item x="181"/>
        <item x="34"/>
        <item x="180"/>
        <item x="146"/>
        <item x="2"/>
        <item x="24"/>
        <item x="137"/>
        <item x="209"/>
        <item x="167"/>
        <item x="7"/>
        <item x="81"/>
        <item x="102"/>
        <item x="149"/>
        <item x="94"/>
        <item x="89"/>
        <item x="140"/>
        <item x="10"/>
        <item x="158"/>
        <item x="110"/>
        <item x="168"/>
        <item x="80"/>
        <item x="188"/>
        <item x="135"/>
        <item x="153"/>
        <item x="108"/>
        <item x="98"/>
        <item x="79"/>
        <item x="150"/>
        <item x="15"/>
        <item x="199"/>
        <item x="101"/>
        <item x="117"/>
        <item x="165"/>
        <item x="61"/>
        <item x="0"/>
        <item x="194"/>
        <item x="95"/>
        <item x="141"/>
        <item x="116"/>
        <item x="142"/>
        <item x="68"/>
        <item x="163"/>
        <item x="56"/>
        <item x="20"/>
        <item x="190"/>
        <item x="50"/>
        <item x="106"/>
        <item x="63"/>
        <item x="228"/>
        <item x="166"/>
        <item x="66"/>
        <item x="155"/>
        <item x="97"/>
        <item x="230"/>
        <item x="208"/>
        <item x="130"/>
        <item x="206"/>
        <item x="35"/>
        <item x="17"/>
        <item x="203"/>
        <item x="44"/>
        <item x="115"/>
        <item x="139"/>
        <item x="14"/>
        <item x="185"/>
        <item x="92"/>
        <item x="64"/>
        <item x="196"/>
        <item x="30"/>
        <item x="152"/>
        <item x="160"/>
        <item x="220"/>
        <item x="82"/>
        <item x="107"/>
        <item x="218"/>
        <item x="134"/>
        <item x="1"/>
        <item x="54"/>
        <item x="62"/>
        <item x="33"/>
        <item x="173"/>
        <item x="32"/>
        <item x="176"/>
        <item x="227"/>
        <item x="133"/>
        <item x="156"/>
        <item x="104"/>
        <item x="122"/>
        <item x="191"/>
        <item x="75"/>
        <item x="111"/>
        <item x="18"/>
        <item x="85"/>
        <item x="183"/>
        <item x="178"/>
        <item x="112"/>
        <item x="231"/>
        <item x="129"/>
        <item x="217"/>
        <item x="189"/>
        <item x="151"/>
        <item x="55"/>
        <item x="6"/>
        <item x="5"/>
        <item x="125"/>
        <item x="186"/>
        <item x="164"/>
        <item x="132"/>
        <item x="45"/>
        <item x="57"/>
        <item x="31"/>
        <item x="171"/>
        <item x="105"/>
        <item x="52"/>
        <item x="195"/>
        <item t="default"/>
      </items>
    </pivotField>
    <pivotField showAll="0"/>
    <pivotField showAll="0"/>
  </pivotFields>
  <rowFields count="1">
    <field x="8"/>
  </rowFields>
  <rowItems count="4">
    <i>
      <x v="1"/>
    </i>
    <i>
      <x/>
    </i>
    <i>
      <x v="2"/>
    </i>
    <i t="grand">
      <x/>
    </i>
  </rowItems>
  <colItems count="1">
    <i/>
  </colItems>
  <dataFields count="1">
    <dataField name="Sum of calls_handled" fld="9" baseField="0" baseItem="0"/>
  </dataFields>
  <chartFormats count="1">
    <chartFormat chart="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38C8B8C-9562-4515-91B2-9CC46FEC845F}"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8:B9" firstHeaderRow="1" firstDataRow="1" firstDataCol="0"/>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items count="8">
        <item x="0"/>
        <item x="3"/>
        <item x="5"/>
        <item x="2"/>
        <item x="4"/>
        <item x="1"/>
        <item x="6"/>
        <item t="default"/>
      </items>
    </pivotField>
    <pivotField showAll="0"/>
    <pivotField showAll="0"/>
    <pivotField showAll="0">
      <items count="40">
        <item x="9"/>
        <item x="38"/>
        <item x="29"/>
        <item x="36"/>
        <item x="28"/>
        <item x="3"/>
        <item x="30"/>
        <item x="34"/>
        <item x="32"/>
        <item x="27"/>
        <item x="37"/>
        <item x="5"/>
        <item x="2"/>
        <item x="26"/>
        <item x="10"/>
        <item x="33"/>
        <item x="12"/>
        <item x="25"/>
        <item x="11"/>
        <item x="24"/>
        <item x="7"/>
        <item x="17"/>
        <item x="18"/>
        <item x="22"/>
        <item x="21"/>
        <item x="15"/>
        <item x="13"/>
        <item x="6"/>
        <item x="0"/>
        <item x="35"/>
        <item x="20"/>
        <item x="1"/>
        <item x="23"/>
        <item x="19"/>
        <item x="14"/>
        <item x="16"/>
        <item x="8"/>
        <item x="31"/>
        <item x="4"/>
        <item t="default"/>
      </items>
    </pivotField>
    <pivotField numFmtId="1" showAll="0"/>
    <pivotField numFmtId="45" showAll="0">
      <items count="233">
        <item x="170"/>
        <item x="222"/>
        <item x="223"/>
        <item x="88"/>
        <item x="219"/>
        <item x="41"/>
        <item x="169"/>
        <item x="46"/>
        <item x="226"/>
        <item x="23"/>
        <item x="77"/>
        <item x="19"/>
        <item x="83"/>
        <item x="11"/>
        <item x="157"/>
        <item x="207"/>
        <item x="25"/>
        <item x="8"/>
        <item x="205"/>
        <item x="22"/>
        <item x="161"/>
        <item x="3"/>
        <item x="36"/>
        <item x="27"/>
        <item x="69"/>
        <item x="26"/>
        <item x="47"/>
        <item x="78"/>
        <item x="73"/>
        <item x="128"/>
        <item x="202"/>
        <item x="43"/>
        <item x="38"/>
        <item x="213"/>
        <item x="212"/>
        <item x="210"/>
        <item x="60"/>
        <item x="119"/>
        <item x="37"/>
        <item x="76"/>
        <item x="162"/>
        <item x="136"/>
        <item x="40"/>
        <item x="204"/>
        <item x="100"/>
        <item x="93"/>
        <item x="145"/>
        <item x="9"/>
        <item x="91"/>
        <item x="109"/>
        <item x="21"/>
        <item x="42"/>
        <item x="51"/>
        <item x="172"/>
        <item x="113"/>
        <item x="67"/>
        <item x="184"/>
        <item x="29"/>
        <item x="72"/>
        <item x="147"/>
        <item x="143"/>
        <item x="86"/>
        <item x="59"/>
        <item x="39"/>
        <item x="198"/>
        <item x="201"/>
        <item x="177"/>
        <item x="175"/>
        <item x="4"/>
        <item x="200"/>
        <item x="70"/>
        <item x="96"/>
        <item x="197"/>
        <item x="87"/>
        <item x="192"/>
        <item x="138"/>
        <item x="28"/>
        <item x="74"/>
        <item x="120"/>
        <item x="174"/>
        <item x="221"/>
        <item x="123"/>
        <item x="182"/>
        <item x="193"/>
        <item x="13"/>
        <item x="154"/>
        <item x="124"/>
        <item x="71"/>
        <item x="127"/>
        <item x="48"/>
        <item x="16"/>
        <item x="131"/>
        <item x="53"/>
        <item x="99"/>
        <item x="84"/>
        <item x="65"/>
        <item x="216"/>
        <item x="121"/>
        <item x="58"/>
        <item x="118"/>
        <item x="214"/>
        <item x="144"/>
        <item x="90"/>
        <item x="179"/>
        <item x="12"/>
        <item x="126"/>
        <item x="211"/>
        <item x="229"/>
        <item x="114"/>
        <item x="159"/>
        <item x="224"/>
        <item x="187"/>
        <item x="225"/>
        <item x="103"/>
        <item x="215"/>
        <item x="49"/>
        <item x="148"/>
        <item x="181"/>
        <item x="34"/>
        <item x="180"/>
        <item x="146"/>
        <item x="2"/>
        <item x="24"/>
        <item x="137"/>
        <item x="209"/>
        <item x="167"/>
        <item x="7"/>
        <item x="81"/>
        <item x="102"/>
        <item x="149"/>
        <item x="94"/>
        <item x="89"/>
        <item x="140"/>
        <item x="10"/>
        <item x="158"/>
        <item x="110"/>
        <item x="168"/>
        <item x="80"/>
        <item x="188"/>
        <item x="135"/>
        <item x="153"/>
        <item x="108"/>
        <item x="98"/>
        <item x="79"/>
        <item x="150"/>
        <item x="15"/>
        <item x="199"/>
        <item x="101"/>
        <item x="117"/>
        <item x="165"/>
        <item x="61"/>
        <item x="0"/>
        <item x="194"/>
        <item x="95"/>
        <item x="141"/>
        <item x="116"/>
        <item x="142"/>
        <item x="68"/>
        <item x="163"/>
        <item x="56"/>
        <item x="20"/>
        <item x="190"/>
        <item x="50"/>
        <item x="106"/>
        <item x="63"/>
        <item x="228"/>
        <item x="166"/>
        <item x="66"/>
        <item x="155"/>
        <item x="97"/>
        <item x="230"/>
        <item x="208"/>
        <item x="130"/>
        <item x="206"/>
        <item x="35"/>
        <item x="17"/>
        <item x="203"/>
        <item x="44"/>
        <item x="115"/>
        <item x="139"/>
        <item x="14"/>
        <item x="185"/>
        <item x="92"/>
        <item x="64"/>
        <item x="196"/>
        <item x="30"/>
        <item x="152"/>
        <item x="160"/>
        <item x="220"/>
        <item x="82"/>
        <item x="107"/>
        <item x="218"/>
        <item x="134"/>
        <item x="1"/>
        <item x="54"/>
        <item x="62"/>
        <item x="33"/>
        <item x="173"/>
        <item x="32"/>
        <item x="176"/>
        <item x="227"/>
        <item x="133"/>
        <item x="156"/>
        <item x="104"/>
        <item x="122"/>
        <item x="191"/>
        <item x="75"/>
        <item x="111"/>
        <item x="18"/>
        <item x="85"/>
        <item x="183"/>
        <item x="178"/>
        <item x="112"/>
        <item x="231"/>
        <item x="129"/>
        <item x="217"/>
        <item x="189"/>
        <item x="151"/>
        <item x="55"/>
        <item x="6"/>
        <item x="5"/>
        <item x="125"/>
        <item x="186"/>
        <item x="164"/>
        <item x="132"/>
        <item x="45"/>
        <item x="57"/>
        <item x="31"/>
        <item x="171"/>
        <item x="105"/>
        <item x="52"/>
        <item x="195"/>
        <item t="default"/>
      </items>
    </pivotField>
    <pivotField showAll="0"/>
    <pivotField dataField="1" showAll="0"/>
  </pivotFields>
  <rowItems count="1">
    <i/>
  </rowItems>
  <colItems count="1">
    <i/>
  </colItems>
  <dataFields count="1">
    <dataField name="Average of Customer_satisfaction" fld="13" subtotal="average" baseField="0" baseItem="9"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5FE3FAD-667A-4585-800E-8B394B10FF9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57:C62" firstHeaderRow="1" firstDataRow="1" firstDataCol="1"/>
  <pivotFields count="14">
    <pivotField showAll="0"/>
    <pivotField showAll="0">
      <items count="11">
        <item x="4"/>
        <item x="3"/>
        <item x="9"/>
        <item x="6"/>
        <item x="1"/>
        <item x="2"/>
        <item x="8"/>
        <item x="0"/>
        <item x="5"/>
        <item x="7"/>
        <item t="default"/>
      </items>
    </pivotField>
    <pivotField showAll="0"/>
    <pivotField numFmtId="14" showAll="0"/>
    <pivotField axis="axisRow" numFmtId="1" showAll="0" sortType="ascending">
      <items count="7">
        <item x="0"/>
        <item x="1"/>
        <item x="2"/>
        <item x="3"/>
        <item x="4"/>
        <item x="5"/>
        <item t="default"/>
      </items>
      <autoSortScope>
        <pivotArea dataOnly="0" outline="0" fieldPosition="0">
          <references count="1">
            <reference field="4294967294" count="1" selected="0">
              <x v="0"/>
            </reference>
          </references>
        </pivotArea>
      </autoSortScope>
    </pivotField>
    <pivotField numFmtId="14" showAll="0"/>
    <pivotField showAll="0">
      <items count="8">
        <item x="0"/>
        <item x="3"/>
        <item x="5"/>
        <item x="2"/>
        <item x="4"/>
        <item x="1"/>
        <item x="6"/>
        <item t="default"/>
      </items>
    </pivotField>
    <pivotField showAll="0"/>
    <pivotField showAll="0"/>
    <pivotField showAll="0"/>
    <pivotField numFmtId="1" showAll="0"/>
    <pivotField numFmtId="45" showAll="0"/>
    <pivotField showAll="0"/>
    <pivotField dataField="1" showAll="0"/>
  </pivotFields>
  <rowFields count="1">
    <field x="4"/>
  </rowFields>
  <rowItems count="5">
    <i>
      <x v="2"/>
    </i>
    <i>
      <x v="4"/>
    </i>
    <i>
      <x v="1"/>
    </i>
    <i>
      <x v="3"/>
    </i>
    <i t="grand">
      <x/>
    </i>
  </rowItems>
  <colItems count="1">
    <i/>
  </colItems>
  <dataFields count="1">
    <dataField name="Average of Customer_satisfaction" fld="13" subtotal="average" baseField="4"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D55C12D-E586-4E50-9ADD-54AEA78974A1}"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11:B12" firstHeaderRow="1" firstDataRow="1" firstDataCol="0"/>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items count="8">
        <item x="0"/>
        <item x="3"/>
        <item x="5"/>
        <item x="2"/>
        <item x="4"/>
        <item x="1"/>
        <item x="6"/>
        <item t="default"/>
      </items>
    </pivotField>
    <pivotField showAll="0"/>
    <pivotField showAll="0"/>
    <pivotField showAll="0">
      <items count="40">
        <item x="9"/>
        <item x="38"/>
        <item x="29"/>
        <item x="36"/>
        <item x="28"/>
        <item x="3"/>
        <item x="30"/>
        <item x="34"/>
        <item x="32"/>
        <item x="27"/>
        <item x="37"/>
        <item x="5"/>
        <item x="2"/>
        <item x="26"/>
        <item x="10"/>
        <item x="33"/>
        <item x="12"/>
        <item x="25"/>
        <item x="11"/>
        <item x="24"/>
        <item x="7"/>
        <item x="17"/>
        <item x="18"/>
        <item x="22"/>
        <item x="21"/>
        <item x="15"/>
        <item x="13"/>
        <item x="6"/>
        <item x="0"/>
        <item x="35"/>
        <item x="20"/>
        <item x="1"/>
        <item x="23"/>
        <item x="19"/>
        <item x="14"/>
        <item x="16"/>
        <item x="8"/>
        <item x="31"/>
        <item x="4"/>
        <item t="default"/>
      </items>
    </pivotField>
    <pivotField numFmtId="1" showAll="0"/>
    <pivotField dataField="1" numFmtId="45" showAll="0">
      <items count="233">
        <item x="170"/>
        <item x="222"/>
        <item x="223"/>
        <item x="88"/>
        <item x="219"/>
        <item x="41"/>
        <item x="169"/>
        <item x="46"/>
        <item x="226"/>
        <item x="23"/>
        <item x="77"/>
        <item x="19"/>
        <item x="83"/>
        <item x="11"/>
        <item x="157"/>
        <item x="207"/>
        <item x="25"/>
        <item x="8"/>
        <item x="205"/>
        <item x="22"/>
        <item x="161"/>
        <item x="3"/>
        <item x="36"/>
        <item x="27"/>
        <item x="69"/>
        <item x="26"/>
        <item x="47"/>
        <item x="78"/>
        <item x="73"/>
        <item x="128"/>
        <item x="202"/>
        <item x="43"/>
        <item x="38"/>
        <item x="213"/>
        <item x="212"/>
        <item x="210"/>
        <item x="60"/>
        <item x="119"/>
        <item x="37"/>
        <item x="76"/>
        <item x="162"/>
        <item x="136"/>
        <item x="40"/>
        <item x="204"/>
        <item x="100"/>
        <item x="93"/>
        <item x="145"/>
        <item x="9"/>
        <item x="91"/>
        <item x="109"/>
        <item x="21"/>
        <item x="42"/>
        <item x="51"/>
        <item x="172"/>
        <item x="113"/>
        <item x="67"/>
        <item x="184"/>
        <item x="29"/>
        <item x="72"/>
        <item x="147"/>
        <item x="143"/>
        <item x="86"/>
        <item x="59"/>
        <item x="39"/>
        <item x="198"/>
        <item x="201"/>
        <item x="177"/>
        <item x="175"/>
        <item x="4"/>
        <item x="200"/>
        <item x="70"/>
        <item x="96"/>
        <item x="197"/>
        <item x="87"/>
        <item x="192"/>
        <item x="138"/>
        <item x="28"/>
        <item x="74"/>
        <item x="120"/>
        <item x="174"/>
        <item x="221"/>
        <item x="123"/>
        <item x="182"/>
        <item x="193"/>
        <item x="13"/>
        <item x="154"/>
        <item x="124"/>
        <item x="71"/>
        <item x="127"/>
        <item x="48"/>
        <item x="16"/>
        <item x="131"/>
        <item x="53"/>
        <item x="99"/>
        <item x="84"/>
        <item x="65"/>
        <item x="216"/>
        <item x="121"/>
        <item x="58"/>
        <item x="118"/>
        <item x="214"/>
        <item x="144"/>
        <item x="90"/>
        <item x="179"/>
        <item x="12"/>
        <item x="126"/>
        <item x="211"/>
        <item x="229"/>
        <item x="114"/>
        <item x="159"/>
        <item x="224"/>
        <item x="187"/>
        <item x="225"/>
        <item x="103"/>
        <item x="215"/>
        <item x="49"/>
        <item x="148"/>
        <item x="181"/>
        <item x="34"/>
        <item x="180"/>
        <item x="146"/>
        <item x="2"/>
        <item x="24"/>
        <item x="137"/>
        <item x="209"/>
        <item x="167"/>
        <item x="7"/>
        <item x="81"/>
        <item x="102"/>
        <item x="149"/>
        <item x="94"/>
        <item x="89"/>
        <item x="140"/>
        <item x="10"/>
        <item x="158"/>
        <item x="110"/>
        <item x="168"/>
        <item x="80"/>
        <item x="188"/>
        <item x="135"/>
        <item x="153"/>
        <item x="108"/>
        <item x="98"/>
        <item x="79"/>
        <item x="150"/>
        <item x="15"/>
        <item x="199"/>
        <item x="101"/>
        <item x="117"/>
        <item x="165"/>
        <item x="61"/>
        <item x="0"/>
        <item x="194"/>
        <item x="95"/>
        <item x="141"/>
        <item x="116"/>
        <item x="142"/>
        <item x="68"/>
        <item x="163"/>
        <item x="56"/>
        <item x="20"/>
        <item x="190"/>
        <item x="50"/>
        <item x="106"/>
        <item x="63"/>
        <item x="228"/>
        <item x="166"/>
        <item x="66"/>
        <item x="155"/>
        <item x="97"/>
        <item x="230"/>
        <item x="208"/>
        <item x="130"/>
        <item x="206"/>
        <item x="35"/>
        <item x="17"/>
        <item x="203"/>
        <item x="44"/>
        <item x="115"/>
        <item x="139"/>
        <item x="14"/>
        <item x="185"/>
        <item x="92"/>
        <item x="64"/>
        <item x="196"/>
        <item x="30"/>
        <item x="152"/>
        <item x="160"/>
        <item x="220"/>
        <item x="82"/>
        <item x="107"/>
        <item x="218"/>
        <item x="134"/>
        <item x="1"/>
        <item x="54"/>
        <item x="62"/>
        <item x="33"/>
        <item x="173"/>
        <item x="32"/>
        <item x="176"/>
        <item x="227"/>
        <item x="133"/>
        <item x="156"/>
        <item x="104"/>
        <item x="122"/>
        <item x="191"/>
        <item x="75"/>
        <item x="111"/>
        <item x="18"/>
        <item x="85"/>
        <item x="183"/>
        <item x="178"/>
        <item x="112"/>
        <item x="231"/>
        <item x="129"/>
        <item x="217"/>
        <item x="189"/>
        <item x="151"/>
        <item x="55"/>
        <item x="6"/>
        <item x="5"/>
        <item x="125"/>
        <item x="186"/>
        <item x="164"/>
        <item x="132"/>
        <item x="45"/>
        <item x="57"/>
        <item x="31"/>
        <item x="171"/>
        <item x="105"/>
        <item x="52"/>
        <item x="195"/>
        <item t="default"/>
      </items>
    </pivotField>
    <pivotField showAll="0"/>
    <pivotField showAll="0"/>
  </pivotFields>
  <rowItems count="1">
    <i/>
  </rowItems>
  <colItems count="1">
    <i/>
  </colItems>
  <dataFields count="1">
    <dataField name="Average of avg_ht_in_minutes" fld="11" subtotal="average" baseField="0" baseItem="9" numFmtId="4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D017761-6694-45F7-8241-33DDED4A8123}"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21:C25" firstHeaderRow="1" firstDataRow="1" firstDataCol="1"/>
  <pivotFields count="14">
    <pivotField showAll="0"/>
    <pivotField showAll="0">
      <items count="11">
        <item x="4"/>
        <item x="3"/>
        <item x="9"/>
        <item x="6"/>
        <item x="1"/>
        <item x="2"/>
        <item x="8"/>
        <item x="0"/>
        <item x="5"/>
        <item x="7"/>
        <item t="default"/>
      </items>
    </pivotField>
    <pivotField showAll="0"/>
    <pivotField numFmtId="14" showAll="0"/>
    <pivotField numFmtId="1" showAll="0">
      <items count="7">
        <item x="0"/>
        <item x="1"/>
        <item x="2"/>
        <item x="3"/>
        <item x="4"/>
        <item x="5"/>
        <item t="default"/>
      </items>
    </pivotField>
    <pivotField numFmtId="14" showAll="0"/>
    <pivotField showAll="0">
      <items count="8">
        <item x="0"/>
        <item x="3"/>
        <item x="5"/>
        <item x="2"/>
        <item x="4"/>
        <item x="1"/>
        <item x="6"/>
        <item t="default"/>
      </items>
    </pivotField>
    <pivotField showAll="0"/>
    <pivotField axis="axisRow" showAll="0" sortType="ascending">
      <items count="4">
        <item x="1"/>
        <item x="0"/>
        <item x="2"/>
        <item t="default"/>
      </items>
      <autoSortScope>
        <pivotArea dataOnly="0" outline="0" fieldPosition="0">
          <references count="1">
            <reference field="4294967294" count="1" selected="0">
              <x v="0"/>
            </reference>
          </references>
        </pivotArea>
      </autoSortScope>
    </pivotField>
    <pivotField showAll="0">
      <items count="40">
        <item x="9"/>
        <item x="38"/>
        <item x="29"/>
        <item x="36"/>
        <item x="28"/>
        <item x="3"/>
        <item x="30"/>
        <item x="34"/>
        <item x="32"/>
        <item x="27"/>
        <item x="37"/>
        <item x="5"/>
        <item x="2"/>
        <item x="26"/>
        <item x="10"/>
        <item x="33"/>
        <item x="12"/>
        <item x="25"/>
        <item x="11"/>
        <item x="24"/>
        <item x="7"/>
        <item x="17"/>
        <item x="18"/>
        <item x="22"/>
        <item x="21"/>
        <item x="15"/>
        <item x="13"/>
        <item x="6"/>
        <item x="0"/>
        <item x="35"/>
        <item x="20"/>
        <item x="1"/>
        <item x="23"/>
        <item x="19"/>
        <item x="14"/>
        <item x="16"/>
        <item x="8"/>
        <item x="31"/>
        <item x="4"/>
        <item t="default"/>
      </items>
    </pivotField>
    <pivotField numFmtId="1" showAll="0"/>
    <pivotField numFmtId="45" showAll="0">
      <items count="233">
        <item x="170"/>
        <item x="222"/>
        <item x="223"/>
        <item x="88"/>
        <item x="219"/>
        <item x="41"/>
        <item x="169"/>
        <item x="46"/>
        <item x="226"/>
        <item x="23"/>
        <item x="77"/>
        <item x="19"/>
        <item x="83"/>
        <item x="11"/>
        <item x="157"/>
        <item x="207"/>
        <item x="25"/>
        <item x="8"/>
        <item x="205"/>
        <item x="22"/>
        <item x="161"/>
        <item x="3"/>
        <item x="36"/>
        <item x="27"/>
        <item x="69"/>
        <item x="26"/>
        <item x="47"/>
        <item x="78"/>
        <item x="73"/>
        <item x="128"/>
        <item x="202"/>
        <item x="43"/>
        <item x="38"/>
        <item x="213"/>
        <item x="212"/>
        <item x="210"/>
        <item x="60"/>
        <item x="119"/>
        <item x="37"/>
        <item x="76"/>
        <item x="162"/>
        <item x="136"/>
        <item x="40"/>
        <item x="204"/>
        <item x="100"/>
        <item x="93"/>
        <item x="145"/>
        <item x="9"/>
        <item x="91"/>
        <item x="109"/>
        <item x="21"/>
        <item x="42"/>
        <item x="51"/>
        <item x="172"/>
        <item x="113"/>
        <item x="67"/>
        <item x="184"/>
        <item x="29"/>
        <item x="72"/>
        <item x="147"/>
        <item x="143"/>
        <item x="86"/>
        <item x="59"/>
        <item x="39"/>
        <item x="198"/>
        <item x="201"/>
        <item x="177"/>
        <item x="175"/>
        <item x="4"/>
        <item x="200"/>
        <item x="70"/>
        <item x="96"/>
        <item x="197"/>
        <item x="87"/>
        <item x="192"/>
        <item x="138"/>
        <item x="28"/>
        <item x="74"/>
        <item x="120"/>
        <item x="174"/>
        <item x="221"/>
        <item x="123"/>
        <item x="182"/>
        <item x="193"/>
        <item x="13"/>
        <item x="154"/>
        <item x="124"/>
        <item x="71"/>
        <item x="127"/>
        <item x="48"/>
        <item x="16"/>
        <item x="131"/>
        <item x="53"/>
        <item x="99"/>
        <item x="84"/>
        <item x="65"/>
        <item x="216"/>
        <item x="121"/>
        <item x="58"/>
        <item x="118"/>
        <item x="214"/>
        <item x="144"/>
        <item x="90"/>
        <item x="179"/>
        <item x="12"/>
        <item x="126"/>
        <item x="211"/>
        <item x="229"/>
        <item x="114"/>
        <item x="159"/>
        <item x="224"/>
        <item x="187"/>
        <item x="225"/>
        <item x="103"/>
        <item x="215"/>
        <item x="49"/>
        <item x="148"/>
        <item x="181"/>
        <item x="34"/>
        <item x="180"/>
        <item x="146"/>
        <item x="2"/>
        <item x="24"/>
        <item x="137"/>
        <item x="209"/>
        <item x="167"/>
        <item x="7"/>
        <item x="81"/>
        <item x="102"/>
        <item x="149"/>
        <item x="94"/>
        <item x="89"/>
        <item x="140"/>
        <item x="10"/>
        <item x="158"/>
        <item x="110"/>
        <item x="168"/>
        <item x="80"/>
        <item x="188"/>
        <item x="135"/>
        <item x="153"/>
        <item x="108"/>
        <item x="98"/>
        <item x="79"/>
        <item x="150"/>
        <item x="15"/>
        <item x="199"/>
        <item x="101"/>
        <item x="117"/>
        <item x="165"/>
        <item x="61"/>
        <item x="0"/>
        <item x="194"/>
        <item x="95"/>
        <item x="141"/>
        <item x="116"/>
        <item x="142"/>
        <item x="68"/>
        <item x="163"/>
        <item x="56"/>
        <item x="20"/>
        <item x="190"/>
        <item x="50"/>
        <item x="106"/>
        <item x="63"/>
        <item x="228"/>
        <item x="166"/>
        <item x="66"/>
        <item x="155"/>
        <item x="97"/>
        <item x="230"/>
        <item x="208"/>
        <item x="130"/>
        <item x="206"/>
        <item x="35"/>
        <item x="17"/>
        <item x="203"/>
        <item x="44"/>
        <item x="115"/>
        <item x="139"/>
        <item x="14"/>
        <item x="185"/>
        <item x="92"/>
        <item x="64"/>
        <item x="196"/>
        <item x="30"/>
        <item x="152"/>
        <item x="160"/>
        <item x="220"/>
        <item x="82"/>
        <item x="107"/>
        <item x="218"/>
        <item x="134"/>
        <item x="1"/>
        <item x="54"/>
        <item x="62"/>
        <item x="33"/>
        <item x="173"/>
        <item x="32"/>
        <item x="176"/>
        <item x="227"/>
        <item x="133"/>
        <item x="156"/>
        <item x="104"/>
        <item x="122"/>
        <item x="191"/>
        <item x="75"/>
        <item x="111"/>
        <item x="18"/>
        <item x="85"/>
        <item x="183"/>
        <item x="178"/>
        <item x="112"/>
        <item x="231"/>
        <item x="129"/>
        <item x="217"/>
        <item x="189"/>
        <item x="151"/>
        <item x="55"/>
        <item x="6"/>
        <item x="5"/>
        <item x="125"/>
        <item x="186"/>
        <item x="164"/>
        <item x="132"/>
        <item x="45"/>
        <item x="57"/>
        <item x="31"/>
        <item x="171"/>
        <item x="105"/>
        <item x="52"/>
        <item x="195"/>
        <item t="default"/>
      </items>
    </pivotField>
    <pivotField dataField="1" showAll="0"/>
    <pivotField showAll="0"/>
  </pivotFields>
  <rowFields count="1">
    <field x="8"/>
  </rowFields>
  <rowItems count="4">
    <i>
      <x/>
    </i>
    <i>
      <x v="1"/>
    </i>
    <i>
      <x v="2"/>
    </i>
    <i t="grand">
      <x/>
    </i>
  </rowItems>
  <colItems count="1">
    <i/>
  </colItems>
  <dataFields count="1">
    <dataField name="Average of avg_queue_time" fld="12" subtotal="average" showDataAs="percentOfTotal" baseField="8" baseItem="1" numFmtId="10"/>
  </dataFields>
  <chartFormats count="1">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CB4F54F-2892-4E97-92E2-BA538434ABF2}" autoFormatId="16" applyNumberFormats="0" applyBorderFormats="0" applyFontFormats="0" applyPatternFormats="0" applyAlignmentFormats="0" applyWidthHeightFormats="0">
  <queryTableRefresh nextId="23">
    <queryTableFields count="14">
      <queryTableField id="1" name="agent_id" tableColumnId="8"/>
      <queryTableField id="8" dataBound="0" tableColumnId="10"/>
      <queryTableField id="14" dataBound="0" tableColumnId="11"/>
      <queryTableField id="11" dataBound="0" tableColumnId="13"/>
      <queryTableField id="18" dataBound="0" tableColumnId="16"/>
      <queryTableField id="2" name="date" tableColumnId="2"/>
      <queryTableField id="20" dataBound="0" tableColumnId="18"/>
      <queryTableField id="3" name="product_id" tableColumnId="3"/>
      <queryTableField id="12" dataBound="0" tableColumnId="1"/>
      <queryTableField id="4" name="calls_handled" tableColumnId="4"/>
      <queryTableField id="5" name="avg_aht" tableColumnId="5"/>
      <queryTableField id="22" dataBound="0" tableColumnId="20"/>
      <queryTableField id="6" name="avg_queue_time" tableColumnId="6"/>
      <queryTableField id="7" name="Customer_satisfaction"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0173E87E-1710-43F4-BB26-8206AAEA08FA}" sourceName="Name">
  <pivotTables>
    <pivotTable tabId="53" name="PivotTable14"/>
    <pivotTable tabId="6" name="PivotTable6"/>
    <pivotTable tabId="7" name="PivotTable7"/>
    <pivotTable tabId="8" name="PivotTable8"/>
    <pivotTable tabId="28" name="PivotTable22"/>
    <pivotTable tabId="28" name="PivotTable24"/>
    <pivotTable tabId="36" name="PivotTable32"/>
    <pivotTable tabId="36" name="PivotTable34"/>
    <pivotTable tabId="53" name="PivotTable10"/>
    <pivotTable tabId="53" name="PivotTable11"/>
    <pivotTable tabId="53" name="PivotTable12"/>
    <pivotTable tabId="53" name="PivotTable13"/>
    <pivotTable tabId="53" name="PivotTable5"/>
    <pivotTable tabId="53" name="PivotTable6"/>
    <pivotTable tabId="53" name="PivotTable7"/>
    <pivotTable tabId="53" name="PivotTable9"/>
    <pivotTable tabId="53" name="PivotTable4"/>
  </pivotTables>
  <data>
    <tabular pivotCacheId="1489019191">
      <items count="10">
        <i x="4" s="1"/>
        <i x="3" s="1"/>
        <i x="9" s="1"/>
        <i x="6" s="1"/>
        <i x="1" s="1"/>
        <i x="2" s="1"/>
        <i x="8" s="1"/>
        <i x="0" s="1"/>
        <i x="5"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34E55EDA-D714-4206-AFD7-251A8801065C}" cache="Slicer_Name" caption="Agent's Name" columnCount="5" style="SlicerStyleLight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9FCC0E-5790-4CDF-AB7C-0C023105B6C2}" name="call_center_data" displayName="call_center_data" ref="B5:O256" tableType="queryTable" totalsRowShown="0" headerRowDxfId="29" dataDxfId="28">
  <autoFilter ref="B5:O256" xr:uid="{499FCC0E-5790-4CDF-AB7C-0C023105B6C2}"/>
  <tableColumns count="14">
    <tableColumn id="8" xr3:uid="{902EF887-450F-4E0E-AB1E-F8DFB2B56DC8}" uniqueName="8" name="agent_id" queryTableFieldId="1" dataDxfId="27"/>
    <tableColumn id="10" xr3:uid="{C9968FDC-00F1-4081-824C-419CC23667BF}" uniqueName="10" name="Name" queryTableFieldId="8" dataDxfId="26">
      <calculatedColumnFormula>_xlfn.XLOOKUP(call_center_data[[#This Row],[agent_id]],Table1[Agent ID],Table1[Full Name])</calculatedColumnFormula>
    </tableColumn>
    <tableColumn id="11" xr3:uid="{31FA01B6-B674-4364-9FF6-8C5B86E6C45D}" uniqueName="11" name="supervisor" queryTableFieldId="14" dataDxfId="25">
      <calculatedColumnFormula>_xlfn.XLOOKUP(call_center_data[[#This Row],[agent_id]],Table1[Agent ID],Table1[Supervisor])</calculatedColumnFormula>
    </tableColumn>
    <tableColumn id="13" xr3:uid="{1C45ED84-B844-4DF2-BCE2-22566B4EC150}" uniqueName="13" name="Hire Date" queryTableFieldId="11" dataDxfId="24">
      <calculatedColumnFormula>_xlfn.XLOOKUP(call_center_data[[#This Row],[agent_id]],Table1[Agent ID],Table1[Hire Date])</calculatedColumnFormula>
    </tableColumn>
    <tableColumn id="16" xr3:uid="{891CB2F6-5545-45DC-A224-00759656BB56}" uniqueName="16" name="tenure" queryTableFieldId="18" dataDxfId="23">
      <calculatedColumnFormula>DATEDIF(call_center_data[[#This Row],[Hire Date]],$Q$6,"M")</calculatedColumnFormula>
    </tableColumn>
    <tableColumn id="2" xr3:uid="{B035837F-29A7-4729-A115-7FFBE33A0A2B}" uniqueName="2" name="date" queryTableFieldId="2" dataDxfId="22"/>
    <tableColumn id="18" xr3:uid="{0134F644-205A-483E-8276-057B22E78736}" uniqueName="18" name="weekday" queryTableFieldId="20" dataDxfId="21">
      <calculatedColumnFormula>TEXT(call_center_data[[#This Row],[date]],"DDD")</calculatedColumnFormula>
    </tableColumn>
    <tableColumn id="3" xr3:uid="{39B199BA-844B-4CB9-8BB5-0457BE92E250}" uniqueName="3" name="product_id" queryTableFieldId="3" dataDxfId="20"/>
    <tableColumn id="1" xr3:uid="{A85625C6-AF0E-4A15-BA01-B37FE7D74A6A}" uniqueName="1" name="product_name" queryTableFieldId="12" dataDxfId="19">
      <calculatedColumnFormula>_xlfn.XLOOKUP(call_center_data[[#This Row],[product_id]],Table2[Product_ID],Table2[Product_Name])</calculatedColumnFormula>
    </tableColumn>
    <tableColumn id="4" xr3:uid="{4AE69BF0-1041-4B3C-A0DC-2B1B0B615A77}" uniqueName="4" name="calls_handled" queryTableFieldId="4" dataDxfId="18"/>
    <tableColumn id="5" xr3:uid="{66A12FC8-A762-4764-A4DE-13F21E270573}" uniqueName="5" name="avg_ht" queryTableFieldId="5" dataDxfId="17"/>
    <tableColumn id="20" xr3:uid="{A69D3AA6-F598-43ED-9B0F-C63B3B01FAA2}" uniqueName="20" name="avg_ht_in_minutes" queryTableFieldId="22" dataDxfId="16">
      <calculatedColumnFormula>call_center_data[[#This Row],[avg_ht]]/86400</calculatedColumnFormula>
    </tableColumn>
    <tableColumn id="6" xr3:uid="{FF8AA18F-62BC-477B-9CAF-DB7AC0EE67C6}" uniqueName="6" name="avg_queue_time" queryTableFieldId="6" dataDxfId="15"/>
    <tableColumn id="7" xr3:uid="{4FBEB665-4D7A-4289-A7AE-5AB4CE68922C}" uniqueName="7" name="Customer_satisfaction" queryTableFieldId="7" dataDxfId="1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59C236-2C4E-4532-AC57-FFF7D67D78BF}" name="Table2" displayName="Table2" ref="J5:L8" totalsRowShown="0" headerRowDxfId="13" dataDxfId="12">
  <tableColumns count="3">
    <tableColumn id="1" xr3:uid="{7D870AFD-73C4-441A-89FA-CC2EFED953D4}" name="Product_ID" dataDxfId="11"/>
    <tableColumn id="2" xr3:uid="{6FAFE85D-8251-4A3B-8E04-1E914C17173C}" name="Product_Name" dataDxfId="10"/>
    <tableColumn id="3" xr3:uid="{113448EA-D388-4C51-B7F5-239E86835641}" name="Call_Review" dataDxfId="9"/>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F3ECD9C-E5D7-42AB-922B-C311FB4B21BF}" name="Table1" displayName="Table1" ref="B5:G15" totalsRowShown="0" headerRowDxfId="8" dataDxfId="7">
  <tableColumns count="6">
    <tableColumn id="1" xr3:uid="{C8B1AB3E-D115-4874-8757-34FC9059E305}" name="Agent ID" dataDxfId="6"/>
    <tableColumn id="2" xr3:uid="{95716F8E-4704-469B-AD97-AD1F8ACECB69}" name="First Name" dataDxfId="5"/>
    <tableColumn id="3" xr3:uid="{3272C71C-9E32-49FA-8AF6-E2C4528AA222}" name="Last Name" dataDxfId="4"/>
    <tableColumn id="4" xr3:uid="{CF416101-9F83-407B-B0BC-007494ED79AB}" name="Full Name" dataDxfId="3">
      <calculatedColumnFormula>CONCATENATE(Table1[[#This Row],[First Name]]," ",Table1[[#This Row],[Last Name]])</calculatedColumnFormula>
    </tableColumn>
    <tableColumn id="5" xr3:uid="{B0D424D0-6562-4323-B6C7-C172918F1B32}" name="Hire Date" dataDxfId="2"/>
    <tableColumn id="6" xr3:uid="{E5500F77-ADD9-4C41-8A60-3C68754676C6}" name="Supervisor" data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15.xml"/><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drawing" Target="../drawings/drawing9.xml"/><Relationship Id="rId5" Type="http://schemas.openxmlformats.org/officeDocument/2006/relationships/pivotTable" Target="../pivotTables/pivotTable1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0.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3D648-B55D-4C74-B8D6-EAB465520AAB}">
  <sheetPr codeName="Sheet1"/>
  <dimension ref="A3:R256"/>
  <sheetViews>
    <sheetView showGridLines="0" topLeftCell="A226" workbookViewId="0">
      <selection activeCell="N6" sqref="N6"/>
    </sheetView>
  </sheetViews>
  <sheetFormatPr defaultRowHeight="15" x14ac:dyDescent="0.25"/>
  <cols>
    <col min="1" max="2" width="11" bestFit="1" customWidth="1"/>
    <col min="3" max="3" width="18.85546875" customWidth="1"/>
    <col min="4" max="4" width="14.5703125" customWidth="1"/>
    <col min="5" max="5" width="11.5703125" style="2" customWidth="1"/>
    <col min="6" max="6" width="9.28515625" customWidth="1"/>
    <col min="7" max="7" width="11.28515625" customWidth="1"/>
    <col min="8" max="8" width="11.28515625" bestFit="1" customWidth="1"/>
    <col min="9" max="9" width="12.85546875" bestFit="1" customWidth="1"/>
    <col min="10" max="10" width="16.28515625" bestFit="1" customWidth="1"/>
    <col min="11" max="11" width="15.5703125" style="2" bestFit="1" customWidth="1"/>
    <col min="12" max="12" width="10.140625" bestFit="1" customWidth="1"/>
    <col min="13" max="13" width="21.42578125" bestFit="1" customWidth="1"/>
    <col min="14" max="14" width="18.28515625" bestFit="1" customWidth="1"/>
    <col min="15" max="15" width="23.28515625" bestFit="1" customWidth="1"/>
    <col min="16" max="16" width="17.5703125" customWidth="1"/>
    <col min="17" max="17" width="18.140625" bestFit="1" customWidth="1"/>
  </cols>
  <sheetData>
    <row r="3" spans="1:18" s="3" customFormat="1" ht="15.75" thickBot="1" x14ac:dyDescent="0.3">
      <c r="A3"/>
      <c r="E3" s="4"/>
      <c r="K3" s="4"/>
    </row>
    <row r="5" spans="1:18" x14ac:dyDescent="0.25">
      <c r="B5" s="10" t="s">
        <v>0</v>
      </c>
      <c r="C5" s="10" t="s">
        <v>43</v>
      </c>
      <c r="D5" s="10" t="s">
        <v>45</v>
      </c>
      <c r="E5" s="10" t="s">
        <v>9</v>
      </c>
      <c r="F5" s="13" t="s">
        <v>46</v>
      </c>
      <c r="G5" s="10" t="s">
        <v>1</v>
      </c>
      <c r="H5" s="10" t="s">
        <v>48</v>
      </c>
      <c r="I5" s="10" t="s">
        <v>2</v>
      </c>
      <c r="J5" s="10" t="s">
        <v>44</v>
      </c>
      <c r="K5" s="10" t="s">
        <v>3</v>
      </c>
      <c r="L5" s="13" t="s">
        <v>63</v>
      </c>
      <c r="M5" s="10" t="s">
        <v>64</v>
      </c>
      <c r="N5" s="10" t="s">
        <v>4</v>
      </c>
      <c r="O5" s="10" t="s">
        <v>5</v>
      </c>
      <c r="Q5" s="14" t="s">
        <v>47</v>
      </c>
    </row>
    <row r="6" spans="1:18" x14ac:dyDescent="0.25">
      <c r="B6" s="5">
        <v>10</v>
      </c>
      <c r="C6" s="5" t="str">
        <f>_xlfn.XLOOKUP(call_center_data[[#This Row],[agent_id]],Table1[Agent ID],Table1[Full Name])</f>
        <v>Mark Ventura</v>
      </c>
      <c r="D6" s="5" t="str">
        <f>_xlfn.XLOOKUP(call_center_data[[#This Row],[agent_id]],Table1[Agent ID],Table1[Supervisor])</f>
        <v>Lester De Mesa</v>
      </c>
      <c r="E6" s="6">
        <f>_xlfn.XLOOKUP(call_center_data[[#This Row],[agent_id]],Table1[Agent ID],Table1[Hire Date])</f>
        <v>44238</v>
      </c>
      <c r="F6" s="7">
        <f>DATEDIF(call_center_data[[#This Row],[Hire Date]],$Q$6,"M")</f>
        <v>4</v>
      </c>
      <c r="G6" s="6">
        <v>44360</v>
      </c>
      <c r="H6" s="6" t="str">
        <f>TEXT(call_center_data[[#This Row],[date]],"DDD")</f>
        <v>Sun</v>
      </c>
      <c r="I6" s="5">
        <v>1</v>
      </c>
      <c r="J6" s="5" t="str">
        <f>_xlfn.XLOOKUP(call_center_data[[#This Row],[product_id]],Table2[Product_ID],Table2[Product_Name])</f>
        <v>Personal Loan</v>
      </c>
      <c r="K6" s="5">
        <v>29</v>
      </c>
      <c r="L6" s="7">
        <v>754</v>
      </c>
      <c r="M6" s="8">
        <f>call_center_data[[#This Row],[avg_ht]]/86400</f>
        <v>8.726851851851852E-3</v>
      </c>
      <c r="N6" s="5">
        <v>65</v>
      </c>
      <c r="O6" s="5">
        <v>7</v>
      </c>
      <c r="Q6" s="15">
        <v>44378</v>
      </c>
    </row>
    <row r="7" spans="1:18" x14ac:dyDescent="0.25">
      <c r="B7" s="5">
        <v>10</v>
      </c>
      <c r="C7" s="5" t="str">
        <f>_xlfn.XLOOKUP(call_center_data[[#This Row],[agent_id]],Table1[Agent ID],Table1[Full Name])</f>
        <v>Mark Ventura</v>
      </c>
      <c r="D7" s="5" t="str">
        <f>_xlfn.XLOOKUP(call_center_data[[#This Row],[agent_id]],Table1[Agent ID],Table1[Supervisor])</f>
        <v>Lester De Mesa</v>
      </c>
      <c r="E7" s="6">
        <f>_xlfn.XLOOKUP(call_center_data[[#This Row],[agent_id]],Table1[Agent ID],Table1[Hire Date])</f>
        <v>44238</v>
      </c>
      <c r="F7" s="7">
        <f>DATEDIF(call_center_data[[#This Row],[Hire Date]],$Q$6,"M")</f>
        <v>4</v>
      </c>
      <c r="G7" s="6">
        <v>44351</v>
      </c>
      <c r="H7" s="6" t="str">
        <f>TEXT(call_center_data[[#This Row],[date]],"DDD")</f>
        <v>Fri</v>
      </c>
      <c r="I7" s="5">
        <v>1</v>
      </c>
      <c r="J7" s="5" t="str">
        <f>_xlfn.XLOOKUP(call_center_data[[#This Row],[product_id]],Table2[Product_ID],Table2[Product_Name])</f>
        <v>Personal Loan</v>
      </c>
      <c r="K7" s="5">
        <v>32</v>
      </c>
      <c r="L7" s="7">
        <v>1325</v>
      </c>
      <c r="M7" s="8">
        <f>call_center_data[[#This Row],[avg_ht]]/86400</f>
        <v>1.5335648148148149E-2</v>
      </c>
      <c r="N7" s="5">
        <v>44</v>
      </c>
      <c r="O7" s="5">
        <v>8</v>
      </c>
    </row>
    <row r="8" spans="1:18" x14ac:dyDescent="0.25">
      <c r="B8" s="5">
        <v>4</v>
      </c>
      <c r="C8" s="5" t="str">
        <f>_xlfn.XLOOKUP(call_center_data[[#This Row],[agent_id]],Table1[Agent ID],Table1[Full Name])</f>
        <v>Jay Alvarez</v>
      </c>
      <c r="D8" s="5" t="str">
        <f>_xlfn.XLOOKUP(call_center_data[[#This Row],[agent_id]],Table1[Agent ID],Table1[Supervisor])</f>
        <v>Carol Mario</v>
      </c>
      <c r="E8" s="6">
        <f>_xlfn.XLOOKUP(call_center_data[[#This Row],[agent_id]],Table1[Agent ID],Table1[Hire Date])</f>
        <v>43871</v>
      </c>
      <c r="F8" s="7">
        <f>DATEDIF(call_center_data[[#This Row],[Hire Date]],$Q$6,"M")</f>
        <v>16</v>
      </c>
      <c r="G8" s="6">
        <v>44370</v>
      </c>
      <c r="H8" s="6" t="str">
        <f>TEXT(call_center_data[[#This Row],[date]],"DDD")</f>
        <v>Wed</v>
      </c>
      <c r="I8" s="5">
        <v>2</v>
      </c>
      <c r="J8" s="5" t="str">
        <f>_xlfn.XLOOKUP(call_center_data[[#This Row],[product_id]],Table2[Product_ID],Table2[Product_Name])</f>
        <v>Car Loan</v>
      </c>
      <c r="K8" s="5">
        <v>13</v>
      </c>
      <c r="L8" s="7">
        <v>545</v>
      </c>
      <c r="M8" s="8">
        <f>call_center_data[[#This Row],[avg_ht]]/86400</f>
        <v>6.3078703703703708E-3</v>
      </c>
      <c r="N8" s="5">
        <v>57</v>
      </c>
      <c r="O8" s="5">
        <v>7</v>
      </c>
    </row>
    <row r="9" spans="1:18" x14ac:dyDescent="0.25">
      <c r="B9" s="5">
        <v>2</v>
      </c>
      <c r="C9" s="5" t="str">
        <f>_xlfn.XLOOKUP(call_center_data[[#This Row],[agent_id]],Table1[Agent ID],Table1[Full Name])</f>
        <v>Josh Vega</v>
      </c>
      <c r="D9" s="5" t="str">
        <f>_xlfn.XLOOKUP(call_center_data[[#This Row],[agent_id]],Table1[Agent ID],Table1[Supervisor])</f>
        <v>Carol Mario</v>
      </c>
      <c r="E9" s="6">
        <f>_xlfn.XLOOKUP(call_center_data[[#This Row],[agent_id]],Table1[Agent ID],Table1[Hire Date])</f>
        <v>43687</v>
      </c>
      <c r="F9" s="7">
        <f>DATEDIF(call_center_data[[#This Row],[Hire Date]],$Q$6,"M")</f>
        <v>22</v>
      </c>
      <c r="G9" s="6">
        <v>44367</v>
      </c>
      <c r="H9" s="6" t="str">
        <f>TEXT(call_center_data[[#This Row],[date]],"DDD")</f>
        <v>Sun</v>
      </c>
      <c r="I9" s="5">
        <v>3</v>
      </c>
      <c r="J9" s="5" t="str">
        <f>_xlfn.XLOOKUP(call_center_data[[#This Row],[product_id]],Table2[Product_ID],Table2[Product_Name])</f>
        <v>Property Loan</v>
      </c>
      <c r="K9" s="5">
        <v>6</v>
      </c>
      <c r="L9" s="7">
        <v>86</v>
      </c>
      <c r="M9" s="8">
        <f>call_center_data[[#This Row],[avg_ht]]/86400</f>
        <v>9.9537037037037042E-4</v>
      </c>
      <c r="N9" s="5">
        <v>21</v>
      </c>
      <c r="O9" s="5">
        <v>10</v>
      </c>
    </row>
    <row r="10" spans="1:18" ht="15.75" thickBot="1" x14ac:dyDescent="0.3">
      <c r="B10" s="5">
        <v>9</v>
      </c>
      <c r="C10" s="5" t="str">
        <f>_xlfn.XLOOKUP(call_center_data[[#This Row],[agent_id]],Table1[Agent ID],Table1[Full Name])</f>
        <v>Cherry Castillo</v>
      </c>
      <c r="D10" s="5" t="str">
        <f>_xlfn.XLOOKUP(call_center_data[[#This Row],[agent_id]],Table1[Agent ID],Table1[Supervisor])</f>
        <v>Lester De Mesa</v>
      </c>
      <c r="E10" s="6">
        <f>_xlfn.XLOOKUP(call_center_data[[#This Row],[agent_id]],Table1[Agent ID],Table1[Hire Date])</f>
        <v>44226</v>
      </c>
      <c r="F10" s="7">
        <f>DATEDIF(call_center_data[[#This Row],[Hire Date]],$Q$6,"M")</f>
        <v>5</v>
      </c>
      <c r="G10" s="6">
        <v>44354</v>
      </c>
      <c r="H10" s="6" t="str">
        <f>TEXT(call_center_data[[#This Row],[date]],"DDD")</f>
        <v>Mon</v>
      </c>
      <c r="I10" s="5">
        <v>3</v>
      </c>
      <c r="J10" s="5" t="str">
        <f>_xlfn.XLOOKUP(call_center_data[[#This Row],[product_id]],Table2[Product_ID],Table2[Product_Name])</f>
        <v>Property Loan</v>
      </c>
      <c r="K10" s="5">
        <v>39</v>
      </c>
      <c r="L10" s="7">
        <v>266</v>
      </c>
      <c r="M10" s="8">
        <f>call_center_data[[#This Row],[avg_ht]]/86400</f>
        <v>3.0787037037037037E-3</v>
      </c>
      <c r="N10" s="5">
        <v>15</v>
      </c>
      <c r="O10" s="5">
        <v>9</v>
      </c>
      <c r="Q10" s="40" t="s">
        <v>62</v>
      </c>
      <c r="R10" s="40"/>
    </row>
    <row r="11" spans="1:18" x14ac:dyDescent="0.25">
      <c r="B11" s="5">
        <v>3</v>
      </c>
      <c r="C11" s="5" t="str">
        <f>_xlfn.XLOOKUP(call_center_data[[#This Row],[agent_id]],Table1[Agent ID],Table1[Full Name])</f>
        <v>Cecille Chen</v>
      </c>
      <c r="D11" s="5" t="str">
        <f>_xlfn.XLOOKUP(call_center_data[[#This Row],[agent_id]],Table1[Agent ID],Table1[Supervisor])</f>
        <v>Lester De Mesa</v>
      </c>
      <c r="E11" s="6">
        <f>_xlfn.XLOOKUP(call_center_data[[#This Row],[agent_id]],Table1[Agent ID],Table1[Hire Date])</f>
        <v>43727</v>
      </c>
      <c r="F11" s="7">
        <f>DATEDIF(call_center_data[[#This Row],[Hire Date]],$Q$6,"M")</f>
        <v>21</v>
      </c>
      <c r="G11" s="6">
        <v>44364</v>
      </c>
      <c r="H11" s="6" t="str">
        <f>TEXT(call_center_data[[#This Row],[date]],"DDD")</f>
        <v>Thu</v>
      </c>
      <c r="I11" s="5">
        <v>1</v>
      </c>
      <c r="J11" s="5" t="str">
        <f>_xlfn.XLOOKUP(call_center_data[[#This Row],[product_id]],Table2[Product_ID],Table2[Product_Name])</f>
        <v>Personal Loan</v>
      </c>
      <c r="K11" s="5">
        <v>12</v>
      </c>
      <c r="L11" s="7">
        <v>1765</v>
      </c>
      <c r="M11" s="8">
        <f>call_center_data[[#This Row],[avg_ht]]/86400</f>
        <v>2.042824074074074E-2</v>
      </c>
      <c r="N11" s="5">
        <v>65</v>
      </c>
      <c r="O11" s="5">
        <v>6</v>
      </c>
      <c r="Q11" s="16" t="s">
        <v>46</v>
      </c>
      <c r="R11" s="16"/>
    </row>
    <row r="12" spans="1:18" x14ac:dyDescent="0.25">
      <c r="B12" s="5">
        <v>7</v>
      </c>
      <c r="C12" s="5" t="str">
        <f>_xlfn.XLOOKUP(call_center_data[[#This Row],[agent_id]],Table1[Agent ID],Table1[Full Name])</f>
        <v>Peter Rivera</v>
      </c>
      <c r="D12" s="5" t="str">
        <f>_xlfn.XLOOKUP(call_center_data[[#This Row],[agent_id]],Table1[Agent ID],Table1[Supervisor])</f>
        <v>Carol Mario</v>
      </c>
      <c r="E12" s="6">
        <f>_xlfn.XLOOKUP(call_center_data[[#This Row],[agent_id]],Table1[Agent ID],Table1[Hire Date])</f>
        <v>44170</v>
      </c>
      <c r="F12" s="7">
        <f>DATEDIF(call_center_data[[#This Row],[Hire Date]],$Q$6,"M")</f>
        <v>6</v>
      </c>
      <c r="G12" s="6">
        <v>44354</v>
      </c>
      <c r="H12" s="6" t="str">
        <f>TEXT(call_center_data[[#This Row],[date]],"DDD")</f>
        <v>Mon</v>
      </c>
      <c r="I12" s="5">
        <v>1</v>
      </c>
      <c r="J12" s="5" t="str">
        <f>_xlfn.XLOOKUP(call_center_data[[#This Row],[product_id]],Table2[Product_ID],Table2[Product_Name])</f>
        <v>Personal Loan</v>
      </c>
      <c r="K12" s="5">
        <v>28</v>
      </c>
      <c r="L12" s="7">
        <v>1728</v>
      </c>
      <c r="M12" s="8">
        <f>call_center_data[[#This Row],[avg_ht]]/86400</f>
        <v>0.02</v>
      </c>
      <c r="N12" s="5">
        <v>88</v>
      </c>
      <c r="O12" s="5">
        <v>6</v>
      </c>
    </row>
    <row r="13" spans="1:18" x14ac:dyDescent="0.25">
      <c r="B13" s="5">
        <v>2</v>
      </c>
      <c r="C13" s="5" t="str">
        <f>_xlfn.XLOOKUP(call_center_data[[#This Row],[agent_id]],Table1[Agent ID],Table1[Full Name])</f>
        <v>Josh Vega</v>
      </c>
      <c r="D13" s="5" t="str">
        <f>_xlfn.XLOOKUP(call_center_data[[#This Row],[agent_id]],Table1[Agent ID],Table1[Supervisor])</f>
        <v>Carol Mario</v>
      </c>
      <c r="E13" s="6">
        <f>_xlfn.XLOOKUP(call_center_data[[#This Row],[agent_id]],Table1[Agent ID],Table1[Hire Date])</f>
        <v>43687</v>
      </c>
      <c r="F13" s="7">
        <f>DATEDIF(call_center_data[[#This Row],[Hire Date]],$Q$6,"M")</f>
        <v>22</v>
      </c>
      <c r="G13" s="6">
        <v>44363</v>
      </c>
      <c r="H13" s="6" t="str">
        <f>TEXT(call_center_data[[#This Row],[date]],"DDD")</f>
        <v>Wed</v>
      </c>
      <c r="I13" s="5">
        <v>2</v>
      </c>
      <c r="J13" s="5" t="str">
        <f>_xlfn.XLOOKUP(call_center_data[[#This Row],[product_id]],Table2[Product_ID],Table2[Product_Name])</f>
        <v>Car Loan</v>
      </c>
      <c r="K13" s="5">
        <v>6</v>
      </c>
      <c r="L13" s="7">
        <v>598</v>
      </c>
      <c r="M13" s="8">
        <f>call_center_data[[#This Row],[avg_ht]]/86400</f>
        <v>6.9212962962962961E-3</v>
      </c>
      <c r="N13" s="5">
        <v>41</v>
      </c>
      <c r="O13" s="5">
        <v>9</v>
      </c>
      <c r="Q13" t="s">
        <v>49</v>
      </c>
      <c r="R13">
        <v>12.262948207171315</v>
      </c>
    </row>
    <row r="14" spans="1:18" x14ac:dyDescent="0.25">
      <c r="B14" s="5">
        <v>4</v>
      </c>
      <c r="C14" s="5" t="str">
        <f>_xlfn.XLOOKUP(call_center_data[[#This Row],[agent_id]],Table1[Agent ID],Table1[Full Name])</f>
        <v>Jay Alvarez</v>
      </c>
      <c r="D14" s="5" t="str">
        <f>_xlfn.XLOOKUP(call_center_data[[#This Row],[agent_id]],Table1[Agent ID],Table1[Supervisor])</f>
        <v>Carol Mario</v>
      </c>
      <c r="E14" s="6">
        <f>_xlfn.XLOOKUP(call_center_data[[#This Row],[agent_id]],Table1[Agent ID],Table1[Hire Date])</f>
        <v>43871</v>
      </c>
      <c r="F14" s="7">
        <f>DATEDIF(call_center_data[[#This Row],[Hire Date]],$Q$6,"M")</f>
        <v>16</v>
      </c>
      <c r="G14" s="6">
        <v>44358</v>
      </c>
      <c r="H14" s="6" t="str">
        <f>TEXT(call_center_data[[#This Row],[date]],"DDD")</f>
        <v>Fri</v>
      </c>
      <c r="I14" s="5">
        <v>2</v>
      </c>
      <c r="J14" s="5" t="str">
        <f>_xlfn.XLOOKUP(call_center_data[[#This Row],[product_id]],Table2[Product_ID],Table2[Product_Name])</f>
        <v>Car Loan</v>
      </c>
      <c r="K14" s="5">
        <v>21</v>
      </c>
      <c r="L14" s="7">
        <v>75</v>
      </c>
      <c r="M14" s="8">
        <f>call_center_data[[#This Row],[avg_ht]]/86400</f>
        <v>8.6805555555555551E-4</v>
      </c>
      <c r="N14" s="5">
        <v>78</v>
      </c>
      <c r="O14" s="5">
        <v>6</v>
      </c>
      <c r="Q14" t="s">
        <v>50</v>
      </c>
      <c r="R14">
        <v>0.46845759319998237</v>
      </c>
    </row>
    <row r="15" spans="1:18" x14ac:dyDescent="0.25">
      <c r="B15" s="5">
        <v>9</v>
      </c>
      <c r="C15" s="5" t="str">
        <f>_xlfn.XLOOKUP(call_center_data[[#This Row],[agent_id]],Table1[Agent ID],Table1[Full Name])</f>
        <v>Cherry Castillo</v>
      </c>
      <c r="D15" s="5" t="str">
        <f>_xlfn.XLOOKUP(call_center_data[[#This Row],[agent_id]],Table1[Agent ID],Table1[Supervisor])</f>
        <v>Lester De Mesa</v>
      </c>
      <c r="E15" s="6">
        <f>_xlfn.XLOOKUP(call_center_data[[#This Row],[agent_id]],Table1[Agent ID],Table1[Hire Date])</f>
        <v>44226</v>
      </c>
      <c r="F15" s="7">
        <f>DATEDIF(call_center_data[[#This Row],[Hire Date]],$Q$6,"M")</f>
        <v>5</v>
      </c>
      <c r="G15" s="6">
        <v>44357</v>
      </c>
      <c r="H15" s="6" t="str">
        <f>TEXT(call_center_data[[#This Row],[date]],"DDD")</f>
        <v>Thu</v>
      </c>
      <c r="I15" s="5">
        <v>3</v>
      </c>
      <c r="J15" s="5" t="str">
        <f>_xlfn.XLOOKUP(call_center_data[[#This Row],[product_id]],Table2[Product_ID],Table2[Product_Name])</f>
        <v>Property Loan</v>
      </c>
      <c r="K15" s="5">
        <v>37</v>
      </c>
      <c r="L15" s="7">
        <v>180</v>
      </c>
      <c r="M15" s="8">
        <f>call_center_data[[#This Row],[avg_ht]]/86400</f>
        <v>2.0833333333333333E-3</v>
      </c>
      <c r="N15" s="5">
        <v>52</v>
      </c>
      <c r="O15" s="5">
        <v>7</v>
      </c>
      <c r="Q15" t="s">
        <v>51</v>
      </c>
      <c r="R15">
        <v>8</v>
      </c>
    </row>
    <row r="16" spans="1:18" x14ac:dyDescent="0.25">
      <c r="B16" s="5">
        <v>2</v>
      </c>
      <c r="C16" s="5" t="str">
        <f>_xlfn.XLOOKUP(call_center_data[[#This Row],[agent_id]],Table1[Agent ID],Table1[Full Name])</f>
        <v>Josh Vega</v>
      </c>
      <c r="D16" s="5" t="str">
        <f>_xlfn.XLOOKUP(call_center_data[[#This Row],[agent_id]],Table1[Agent ID],Table1[Supervisor])</f>
        <v>Carol Mario</v>
      </c>
      <c r="E16" s="6">
        <f>_xlfn.XLOOKUP(call_center_data[[#This Row],[agent_id]],Table1[Agent ID],Table1[Hire Date])</f>
        <v>43687</v>
      </c>
      <c r="F16" s="7">
        <f>DATEDIF(call_center_data[[#This Row],[Hire Date]],$Q$6,"M")</f>
        <v>22</v>
      </c>
      <c r="G16" s="6">
        <v>44350</v>
      </c>
      <c r="H16" s="6" t="str">
        <f>TEXT(call_center_data[[#This Row],[date]],"DDD")</f>
        <v>Thu</v>
      </c>
      <c r="I16" s="5">
        <v>1</v>
      </c>
      <c r="J16" s="5" t="str">
        <f>_xlfn.XLOOKUP(call_center_data[[#This Row],[product_id]],Table2[Product_ID],Table2[Product_Name])</f>
        <v>Personal Loan</v>
      </c>
      <c r="K16" s="5">
        <v>1</v>
      </c>
      <c r="L16" s="7">
        <v>639</v>
      </c>
      <c r="M16" s="8">
        <f>call_center_data[[#This Row],[avg_ht]]/86400</f>
        <v>7.3958333333333333E-3</v>
      </c>
      <c r="N16" s="5">
        <v>55</v>
      </c>
      <c r="O16" s="5">
        <v>7</v>
      </c>
      <c r="Q16" t="s">
        <v>52</v>
      </c>
      <c r="R16">
        <v>5</v>
      </c>
    </row>
    <row r="17" spans="2:18" x14ac:dyDescent="0.25">
      <c r="B17" s="5">
        <v>6</v>
      </c>
      <c r="C17" s="5" t="str">
        <f>_xlfn.XLOOKUP(call_center_data[[#This Row],[agent_id]],Table1[Agent ID],Table1[Full Name])</f>
        <v>Jane Hernandez</v>
      </c>
      <c r="D17" s="5" t="str">
        <f>_xlfn.XLOOKUP(call_center_data[[#This Row],[agent_id]],Table1[Agent ID],Table1[Supervisor])</f>
        <v>Lester De Mesa</v>
      </c>
      <c r="E17" s="6">
        <f>_xlfn.XLOOKUP(call_center_data[[#This Row],[agent_id]],Table1[Agent ID],Table1[Hire Date])</f>
        <v>44116</v>
      </c>
      <c r="F17" s="7">
        <f>DATEDIF(call_center_data[[#This Row],[Hire Date]],$Q$6,"M")</f>
        <v>8</v>
      </c>
      <c r="G17" s="6">
        <v>44357</v>
      </c>
      <c r="H17" s="6" t="str">
        <f>TEXT(call_center_data[[#This Row],[date]],"DDD")</f>
        <v>Thu</v>
      </c>
      <c r="I17" s="5">
        <v>3</v>
      </c>
      <c r="J17" s="5" t="str">
        <f>_xlfn.XLOOKUP(call_center_data[[#This Row],[product_id]],Table2[Product_ID],Table2[Product_Name])</f>
        <v>Property Loan</v>
      </c>
      <c r="K17" s="5">
        <v>21</v>
      </c>
      <c r="L17" s="7">
        <v>57</v>
      </c>
      <c r="M17" s="8">
        <f>call_center_data[[#This Row],[avg_ht]]/86400</f>
        <v>6.5972222222222224E-4</v>
      </c>
      <c r="N17" s="5">
        <v>16</v>
      </c>
      <c r="O17" s="5">
        <v>9</v>
      </c>
      <c r="Q17" t="s">
        <v>53</v>
      </c>
      <c r="R17">
        <v>7.4217640540040586</v>
      </c>
    </row>
    <row r="18" spans="2:18" x14ac:dyDescent="0.25">
      <c r="B18" s="5">
        <v>4</v>
      </c>
      <c r="C18" s="5" t="str">
        <f>_xlfn.XLOOKUP(call_center_data[[#This Row],[agent_id]],Table1[Agent ID],Table1[Full Name])</f>
        <v>Jay Alvarez</v>
      </c>
      <c r="D18" s="5" t="str">
        <f>_xlfn.XLOOKUP(call_center_data[[#This Row],[agent_id]],Table1[Agent ID],Table1[Supervisor])</f>
        <v>Carol Mario</v>
      </c>
      <c r="E18" s="6">
        <f>_xlfn.XLOOKUP(call_center_data[[#This Row],[agent_id]],Table1[Agent ID],Table1[Hire Date])</f>
        <v>43871</v>
      </c>
      <c r="F18" s="7">
        <f>DATEDIF(call_center_data[[#This Row],[Hire Date]],$Q$6,"M")</f>
        <v>16</v>
      </c>
      <c r="G18" s="6">
        <v>44353</v>
      </c>
      <c r="H18" s="6" t="str">
        <f>TEXT(call_center_data[[#This Row],[date]],"DDD")</f>
        <v>Sun</v>
      </c>
      <c r="I18" s="5">
        <v>3</v>
      </c>
      <c r="J18" s="5" t="str">
        <f>_xlfn.XLOOKUP(call_center_data[[#This Row],[product_id]],Table2[Product_ID],Table2[Product_Name])</f>
        <v>Property Loan</v>
      </c>
      <c r="K18" s="5">
        <v>15</v>
      </c>
      <c r="L18" s="7">
        <v>456</v>
      </c>
      <c r="M18" s="8">
        <f>call_center_data[[#This Row],[avg_ht]]/86400</f>
        <v>5.2777777777777779E-3</v>
      </c>
      <c r="N18" s="5">
        <v>71</v>
      </c>
      <c r="O18" s="5">
        <v>6</v>
      </c>
      <c r="Q18" t="s">
        <v>54</v>
      </c>
      <c r="R18">
        <v>55.082581673306763</v>
      </c>
    </row>
    <row r="19" spans="2:18" x14ac:dyDescent="0.25">
      <c r="B19" s="5">
        <v>6</v>
      </c>
      <c r="C19" s="5" t="str">
        <f>_xlfn.XLOOKUP(call_center_data[[#This Row],[agent_id]],Table1[Agent ID],Table1[Full Name])</f>
        <v>Jane Hernandez</v>
      </c>
      <c r="D19" s="5" t="str">
        <f>_xlfn.XLOOKUP(call_center_data[[#This Row],[agent_id]],Table1[Agent ID],Table1[Supervisor])</f>
        <v>Lester De Mesa</v>
      </c>
      <c r="E19" s="6">
        <f>_xlfn.XLOOKUP(call_center_data[[#This Row],[agent_id]],Table1[Agent ID],Table1[Hire Date])</f>
        <v>44116</v>
      </c>
      <c r="F19" s="7">
        <f>DATEDIF(call_center_data[[#This Row],[Hire Date]],$Q$6,"M")</f>
        <v>8</v>
      </c>
      <c r="G19" s="6">
        <v>44348</v>
      </c>
      <c r="H19" s="6" t="str">
        <f>TEXT(call_center_data[[#This Row],[date]],"DDD")</f>
        <v>Tue</v>
      </c>
      <c r="I19" s="5">
        <v>3</v>
      </c>
      <c r="J19" s="5" t="str">
        <f>_xlfn.XLOOKUP(call_center_data[[#This Row],[product_id]],Table2[Product_ID],Table2[Product_Name])</f>
        <v>Property Loan</v>
      </c>
      <c r="K19" s="5">
        <v>19</v>
      </c>
      <c r="L19" s="7">
        <v>367</v>
      </c>
      <c r="M19" s="8">
        <f>call_center_data[[#This Row],[avg_ht]]/86400</f>
        <v>4.2476851851851851E-3</v>
      </c>
      <c r="N19" s="5">
        <v>23</v>
      </c>
      <c r="O19" s="5">
        <v>10</v>
      </c>
      <c r="Q19" t="s">
        <v>55</v>
      </c>
      <c r="R19">
        <v>-1.5097647695699894</v>
      </c>
    </row>
    <row r="20" spans="2:18" x14ac:dyDescent="0.25">
      <c r="B20" s="5">
        <v>6</v>
      </c>
      <c r="C20" s="5" t="str">
        <f>_xlfn.XLOOKUP(call_center_data[[#This Row],[agent_id]],Table1[Agent ID],Table1[Full Name])</f>
        <v>Jane Hernandez</v>
      </c>
      <c r="D20" s="5" t="str">
        <f>_xlfn.XLOOKUP(call_center_data[[#This Row],[agent_id]],Table1[Agent ID],Table1[Supervisor])</f>
        <v>Lester De Mesa</v>
      </c>
      <c r="E20" s="6">
        <f>_xlfn.XLOOKUP(call_center_data[[#This Row],[agent_id]],Table1[Agent ID],Table1[Hire Date])</f>
        <v>44116</v>
      </c>
      <c r="F20" s="7">
        <f>DATEDIF(call_center_data[[#This Row],[Hire Date]],$Q$6,"M")</f>
        <v>8</v>
      </c>
      <c r="G20" s="6">
        <v>44367</v>
      </c>
      <c r="H20" s="6" t="str">
        <f>TEXT(call_center_data[[#This Row],[date]],"DDD")</f>
        <v>Sun</v>
      </c>
      <c r="I20" s="5">
        <v>1</v>
      </c>
      <c r="J20" s="5" t="str">
        <f>_xlfn.XLOOKUP(call_center_data[[#This Row],[product_id]],Table2[Product_ID],Table2[Product_Name])</f>
        <v>Personal Loan</v>
      </c>
      <c r="K20" s="5">
        <v>17</v>
      </c>
      <c r="L20" s="7">
        <v>1067</v>
      </c>
      <c r="M20" s="8">
        <f>call_center_data[[#This Row],[avg_ht]]/86400</f>
        <v>1.2349537037037037E-2</v>
      </c>
      <c r="N20" s="5">
        <v>53</v>
      </c>
      <c r="O20" s="5">
        <v>7</v>
      </c>
      <c r="Q20" t="s">
        <v>56</v>
      </c>
      <c r="R20">
        <v>0.36269079176377034</v>
      </c>
    </row>
    <row r="21" spans="2:18" x14ac:dyDescent="0.25">
      <c r="B21" s="5">
        <v>3</v>
      </c>
      <c r="C21" s="5" t="str">
        <f>_xlfn.XLOOKUP(call_center_data[[#This Row],[agent_id]],Table1[Agent ID],Table1[Full Name])</f>
        <v>Cecille Chen</v>
      </c>
      <c r="D21" s="5" t="str">
        <f>_xlfn.XLOOKUP(call_center_data[[#This Row],[agent_id]],Table1[Agent ID],Table1[Supervisor])</f>
        <v>Lester De Mesa</v>
      </c>
      <c r="E21" s="6">
        <f>_xlfn.XLOOKUP(call_center_data[[#This Row],[agent_id]],Table1[Agent ID],Table1[Hire Date])</f>
        <v>43727</v>
      </c>
      <c r="F21" s="7">
        <f>DATEDIF(call_center_data[[#This Row],[Hire Date]],$Q$6,"M")</f>
        <v>21</v>
      </c>
      <c r="G21" s="6">
        <v>44359</v>
      </c>
      <c r="H21" s="6" t="str">
        <f>TEXT(call_center_data[[#This Row],[date]],"DDD")</f>
        <v>Sat</v>
      </c>
      <c r="I21" s="5">
        <v>2</v>
      </c>
      <c r="J21" s="5" t="str">
        <f>_xlfn.XLOOKUP(call_center_data[[#This Row],[product_id]],Table2[Product_ID],Table2[Product_Name])</f>
        <v>Car Loan</v>
      </c>
      <c r="K21" s="5">
        <v>28</v>
      </c>
      <c r="L21" s="7">
        <v>720</v>
      </c>
      <c r="M21" s="8">
        <f>call_center_data[[#This Row],[avg_ht]]/86400</f>
        <v>8.3333333333333332E-3</v>
      </c>
      <c r="N21" s="5">
        <v>52</v>
      </c>
      <c r="O21" s="5">
        <v>7</v>
      </c>
      <c r="Q21" t="s">
        <v>57</v>
      </c>
      <c r="R21">
        <v>20</v>
      </c>
    </row>
    <row r="22" spans="2:18" x14ac:dyDescent="0.25">
      <c r="B22" s="5">
        <v>8</v>
      </c>
      <c r="C22" s="5" t="str">
        <f>_xlfn.XLOOKUP(call_center_data[[#This Row],[agent_id]],Table1[Agent ID],Table1[Full Name])</f>
        <v>Rachel Delos Santos</v>
      </c>
      <c r="D22" s="5" t="str">
        <f>_xlfn.XLOOKUP(call_center_data[[#This Row],[agent_id]],Table1[Agent ID],Table1[Supervisor])</f>
        <v>Carol Mario</v>
      </c>
      <c r="E22" s="6">
        <f>_xlfn.XLOOKUP(call_center_data[[#This Row],[agent_id]],Table1[Agent ID],Table1[Hire Date])</f>
        <v>44212</v>
      </c>
      <c r="F22" s="7">
        <f>DATEDIF(call_center_data[[#This Row],[Hire Date]],$Q$6,"M")</f>
        <v>5</v>
      </c>
      <c r="G22" s="6">
        <v>44351</v>
      </c>
      <c r="H22" s="6" t="str">
        <f>TEXT(call_center_data[[#This Row],[date]],"DDD")</f>
        <v>Fri</v>
      </c>
      <c r="I22" s="5">
        <v>2</v>
      </c>
      <c r="J22" s="5" t="str">
        <f>_xlfn.XLOOKUP(call_center_data[[#This Row],[product_id]],Table2[Product_ID],Table2[Product_Name])</f>
        <v>Car Loan</v>
      </c>
      <c r="K22" s="5">
        <v>27</v>
      </c>
      <c r="L22" s="7">
        <v>389</v>
      </c>
      <c r="M22" s="8">
        <f>call_center_data[[#This Row],[avg_ht]]/86400</f>
        <v>4.5023148148148149E-3</v>
      </c>
      <c r="N22" s="5">
        <v>62</v>
      </c>
      <c r="O22" s="5">
        <v>7</v>
      </c>
      <c r="Q22" t="s">
        <v>58</v>
      </c>
      <c r="R22">
        <v>4</v>
      </c>
    </row>
    <row r="23" spans="2:18" x14ac:dyDescent="0.25">
      <c r="B23" s="5">
        <v>1</v>
      </c>
      <c r="C23" s="5" t="str">
        <f>_xlfn.XLOOKUP(call_center_data[[#This Row],[agent_id]],Table1[Agent ID],Table1[Full Name])</f>
        <v>Lisa Diaz</v>
      </c>
      <c r="D23" s="5" t="str">
        <f>_xlfn.XLOOKUP(call_center_data[[#This Row],[agent_id]],Table1[Agent ID],Table1[Supervisor])</f>
        <v>Carol Mario</v>
      </c>
      <c r="E23" s="6">
        <f>_xlfn.XLOOKUP(call_center_data[[#This Row],[agent_id]],Table1[Agent ID],Table1[Hire Date])</f>
        <v>43625</v>
      </c>
      <c r="F23" s="7">
        <f>DATEDIF(call_center_data[[#This Row],[Hire Date]],$Q$6,"M")</f>
        <v>24</v>
      </c>
      <c r="G23" s="6">
        <v>44358</v>
      </c>
      <c r="H23" s="6" t="str">
        <f>TEXT(call_center_data[[#This Row],[date]],"DDD")</f>
        <v>Fri</v>
      </c>
      <c r="I23" s="5">
        <v>2</v>
      </c>
      <c r="J23" s="5" t="str">
        <f>_xlfn.XLOOKUP(call_center_data[[#This Row],[product_id]],Table2[Product_ID],Table2[Product_Name])</f>
        <v>Car Loan</v>
      </c>
      <c r="K23" s="5">
        <v>28</v>
      </c>
      <c r="L23" s="7">
        <v>959</v>
      </c>
      <c r="M23" s="8">
        <f>call_center_data[[#This Row],[avg_ht]]/86400</f>
        <v>1.1099537037037036E-2</v>
      </c>
      <c r="N23" s="5">
        <v>43</v>
      </c>
      <c r="O23" s="5">
        <v>8</v>
      </c>
      <c r="Q23" t="s">
        <v>59</v>
      </c>
      <c r="R23">
        <v>24</v>
      </c>
    </row>
    <row r="24" spans="2:18" x14ac:dyDescent="0.25">
      <c r="B24" s="5">
        <v>9</v>
      </c>
      <c r="C24" s="5" t="str">
        <f>_xlfn.XLOOKUP(call_center_data[[#This Row],[agent_id]],Table1[Agent ID],Table1[Full Name])</f>
        <v>Cherry Castillo</v>
      </c>
      <c r="D24" s="5" t="str">
        <f>_xlfn.XLOOKUP(call_center_data[[#This Row],[agent_id]],Table1[Agent ID],Table1[Supervisor])</f>
        <v>Lester De Mesa</v>
      </c>
      <c r="E24" s="6">
        <f>_xlfn.XLOOKUP(call_center_data[[#This Row],[agent_id]],Table1[Agent ID],Table1[Hire Date])</f>
        <v>44226</v>
      </c>
      <c r="F24" s="7">
        <f>DATEDIF(call_center_data[[#This Row],[Hire Date]],$Q$6,"M")</f>
        <v>5</v>
      </c>
      <c r="G24" s="6">
        <v>44361</v>
      </c>
      <c r="H24" s="6" t="str">
        <f>TEXT(call_center_data[[#This Row],[date]],"DDD")</f>
        <v>Mon</v>
      </c>
      <c r="I24" s="5">
        <v>1</v>
      </c>
      <c r="J24" s="5" t="str">
        <f>_xlfn.XLOOKUP(call_center_data[[#This Row],[product_id]],Table2[Product_ID],Table2[Product_Name])</f>
        <v>Personal Loan</v>
      </c>
      <c r="K24" s="5">
        <v>35</v>
      </c>
      <c r="L24" s="7">
        <v>1537</v>
      </c>
      <c r="M24" s="8">
        <f>call_center_data[[#This Row],[avg_ht]]/86400</f>
        <v>1.7789351851851851E-2</v>
      </c>
      <c r="N24" s="5">
        <v>58</v>
      </c>
      <c r="O24" s="5">
        <v>7</v>
      </c>
      <c r="Q24" t="s">
        <v>60</v>
      </c>
      <c r="R24">
        <v>3078</v>
      </c>
    </row>
    <row r="25" spans="2:18" ht="15.75" thickBot="1" x14ac:dyDescent="0.3">
      <c r="B25" s="5">
        <v>2</v>
      </c>
      <c r="C25" s="5" t="str">
        <f>_xlfn.XLOOKUP(call_center_data[[#This Row],[agent_id]],Table1[Agent ID],Table1[Full Name])</f>
        <v>Josh Vega</v>
      </c>
      <c r="D25" s="5" t="str">
        <f>_xlfn.XLOOKUP(call_center_data[[#This Row],[agent_id]],Table1[Agent ID],Table1[Supervisor])</f>
        <v>Carol Mario</v>
      </c>
      <c r="E25" s="6">
        <f>_xlfn.XLOOKUP(call_center_data[[#This Row],[agent_id]],Table1[Agent ID],Table1[Hire Date])</f>
        <v>43687</v>
      </c>
      <c r="F25" s="7">
        <f>DATEDIF(call_center_data[[#This Row],[Hire Date]],$Q$6,"M")</f>
        <v>22</v>
      </c>
      <c r="G25" s="6">
        <v>44366</v>
      </c>
      <c r="H25" s="6" t="str">
        <f>TEXT(call_center_data[[#This Row],[date]],"DDD")</f>
        <v>Sat</v>
      </c>
      <c r="I25" s="5">
        <v>2</v>
      </c>
      <c r="J25" s="5" t="str">
        <f>_xlfn.XLOOKUP(call_center_data[[#This Row],[product_id]],Table2[Product_ID],Table2[Product_Name])</f>
        <v>Car Loan</v>
      </c>
      <c r="K25" s="5">
        <v>26</v>
      </c>
      <c r="L25" s="7">
        <v>55</v>
      </c>
      <c r="M25" s="8">
        <f>call_center_data[[#This Row],[avg_ht]]/86400</f>
        <v>6.3657407407407413E-4</v>
      </c>
      <c r="N25" s="5">
        <v>74</v>
      </c>
      <c r="O25" s="5">
        <v>6</v>
      </c>
      <c r="Q25" s="3" t="s">
        <v>61</v>
      </c>
      <c r="R25" s="3">
        <v>251</v>
      </c>
    </row>
    <row r="26" spans="2:18" x14ac:dyDescent="0.25">
      <c r="B26" s="5">
        <v>9</v>
      </c>
      <c r="C26" s="5" t="str">
        <f>_xlfn.XLOOKUP(call_center_data[[#This Row],[agent_id]],Table1[Agent ID],Table1[Full Name])</f>
        <v>Cherry Castillo</v>
      </c>
      <c r="D26" s="5" t="str">
        <f>_xlfn.XLOOKUP(call_center_data[[#This Row],[agent_id]],Table1[Agent ID],Table1[Supervisor])</f>
        <v>Lester De Mesa</v>
      </c>
      <c r="E26" s="6">
        <f>_xlfn.XLOOKUP(call_center_data[[#This Row],[agent_id]],Table1[Agent ID],Table1[Hire Date])</f>
        <v>44226</v>
      </c>
      <c r="F26" s="7">
        <f>DATEDIF(call_center_data[[#This Row],[Hire Date]],$Q$6,"M")</f>
        <v>5</v>
      </c>
      <c r="G26" s="6">
        <v>44356</v>
      </c>
      <c r="H26" s="6" t="str">
        <f>TEXT(call_center_data[[#This Row],[date]],"DDD")</f>
        <v>Wed</v>
      </c>
      <c r="I26" s="5">
        <v>2</v>
      </c>
      <c r="J26" s="5" t="str">
        <f>_xlfn.XLOOKUP(call_center_data[[#This Row],[product_id]],Table2[Product_ID],Table2[Product_Name])</f>
        <v>Car Loan</v>
      </c>
      <c r="K26" s="5">
        <v>36</v>
      </c>
      <c r="L26" s="7">
        <v>808</v>
      </c>
      <c r="M26" s="8">
        <f>call_center_data[[#This Row],[avg_ht]]/86400</f>
        <v>9.3518518518518525E-3</v>
      </c>
      <c r="N26" s="5">
        <v>13</v>
      </c>
      <c r="O26" s="5">
        <v>10</v>
      </c>
    </row>
    <row r="27" spans="2:18" x14ac:dyDescent="0.25">
      <c r="B27" s="5">
        <v>5</v>
      </c>
      <c r="C27" s="5" t="str">
        <f>_xlfn.XLOOKUP(call_center_data[[#This Row],[agent_id]],Table1[Agent ID],Table1[Full Name])</f>
        <v>Eric Molina</v>
      </c>
      <c r="D27" s="5" t="str">
        <f>_xlfn.XLOOKUP(call_center_data[[#This Row],[agent_id]],Table1[Agent ID],Table1[Supervisor])</f>
        <v>Lester De Mesa</v>
      </c>
      <c r="E27" s="6">
        <f>_xlfn.XLOOKUP(call_center_data[[#This Row],[agent_id]],Table1[Agent ID],Table1[Hire Date])</f>
        <v>43966</v>
      </c>
      <c r="F27" s="7">
        <f>DATEDIF(call_center_data[[#This Row],[Hire Date]],$Q$6,"M")</f>
        <v>13</v>
      </c>
      <c r="G27" s="6">
        <v>44352</v>
      </c>
      <c r="H27" s="6" t="str">
        <f>TEXT(call_center_data[[#This Row],[date]],"DDD")</f>
        <v>Sat</v>
      </c>
      <c r="I27" s="5">
        <v>3</v>
      </c>
      <c r="J27" s="5" t="str">
        <f>_xlfn.XLOOKUP(call_center_data[[#This Row],[product_id]],Table2[Product_ID],Table2[Product_Name])</f>
        <v>Property Loan</v>
      </c>
      <c r="K27" s="5">
        <v>22</v>
      </c>
      <c r="L27" s="7">
        <v>187</v>
      </c>
      <c r="M27" s="8">
        <f>call_center_data[[#This Row],[avg_ht]]/86400</f>
        <v>2.1643518518518518E-3</v>
      </c>
      <c r="N27" s="5">
        <v>69</v>
      </c>
      <c r="O27" s="5">
        <v>7</v>
      </c>
    </row>
    <row r="28" spans="2:18" x14ac:dyDescent="0.25">
      <c r="B28" s="5">
        <v>6</v>
      </c>
      <c r="C28" s="5" t="str">
        <f>_xlfn.XLOOKUP(call_center_data[[#This Row],[agent_id]],Table1[Agent ID],Table1[Full Name])</f>
        <v>Jane Hernandez</v>
      </c>
      <c r="D28" s="5" t="str">
        <f>_xlfn.XLOOKUP(call_center_data[[#This Row],[agent_id]],Table1[Agent ID],Table1[Supervisor])</f>
        <v>Lester De Mesa</v>
      </c>
      <c r="E28" s="6">
        <f>_xlfn.XLOOKUP(call_center_data[[#This Row],[agent_id]],Table1[Agent ID],Table1[Hire Date])</f>
        <v>44116</v>
      </c>
      <c r="F28" s="7">
        <f>DATEDIF(call_center_data[[#This Row],[Hire Date]],$Q$6,"M")</f>
        <v>8</v>
      </c>
      <c r="G28" s="6">
        <v>44368</v>
      </c>
      <c r="H28" s="6" t="str">
        <f>TEXT(call_center_data[[#This Row],[date]],"DDD")</f>
        <v>Mon</v>
      </c>
      <c r="I28" s="5">
        <v>2</v>
      </c>
      <c r="J28" s="5" t="str">
        <f>_xlfn.XLOOKUP(call_center_data[[#This Row],[product_id]],Table2[Product_ID],Table2[Product_Name])</f>
        <v>Car Loan</v>
      </c>
      <c r="K28" s="5">
        <v>17</v>
      </c>
      <c r="L28" s="7">
        <v>81</v>
      </c>
      <c r="M28" s="8">
        <f>call_center_data[[#This Row],[avg_ht]]/86400</f>
        <v>9.3749999999999997E-4</v>
      </c>
      <c r="N28" s="5">
        <v>70</v>
      </c>
      <c r="O28" s="5">
        <v>6</v>
      </c>
    </row>
    <row r="29" spans="2:18" ht="15.75" thickBot="1" x14ac:dyDescent="0.3">
      <c r="B29" s="5">
        <v>6</v>
      </c>
      <c r="C29" s="5" t="str">
        <f>_xlfn.XLOOKUP(call_center_data[[#This Row],[agent_id]],Table1[Agent ID],Table1[Full Name])</f>
        <v>Jane Hernandez</v>
      </c>
      <c r="D29" s="5" t="str">
        <f>_xlfn.XLOOKUP(call_center_data[[#This Row],[agent_id]],Table1[Agent ID],Table1[Supervisor])</f>
        <v>Lester De Mesa</v>
      </c>
      <c r="E29" s="6">
        <f>_xlfn.XLOOKUP(call_center_data[[#This Row],[agent_id]],Table1[Agent ID],Table1[Hire Date])</f>
        <v>44116</v>
      </c>
      <c r="F29" s="7">
        <f>DATEDIF(call_center_data[[#This Row],[Hire Date]],$Q$6,"M")</f>
        <v>8</v>
      </c>
      <c r="G29" s="6">
        <v>44371</v>
      </c>
      <c r="H29" s="6" t="str">
        <f>TEXT(call_center_data[[#This Row],[date]],"DDD")</f>
        <v>Thu</v>
      </c>
      <c r="I29" s="5">
        <v>2</v>
      </c>
      <c r="J29" s="5" t="str">
        <f>_xlfn.XLOOKUP(call_center_data[[#This Row],[product_id]],Table2[Product_ID],Table2[Product_Name])</f>
        <v>Car Loan</v>
      </c>
      <c r="K29" s="5">
        <v>17</v>
      </c>
      <c r="L29" s="7">
        <v>41</v>
      </c>
      <c r="M29" s="8">
        <f>call_center_data[[#This Row],[avg_ht]]/86400</f>
        <v>4.7453703703703704E-4</v>
      </c>
      <c r="N29" s="5">
        <v>27</v>
      </c>
      <c r="O29" s="5">
        <v>10</v>
      </c>
      <c r="Q29" s="40" t="s">
        <v>62</v>
      </c>
      <c r="R29" s="40"/>
    </row>
    <row r="30" spans="2:18" x14ac:dyDescent="0.25">
      <c r="B30" s="5">
        <v>2</v>
      </c>
      <c r="C30" s="5" t="str">
        <f>_xlfn.XLOOKUP(call_center_data[[#This Row],[agent_id]],Table1[Agent ID],Table1[Full Name])</f>
        <v>Josh Vega</v>
      </c>
      <c r="D30" s="5" t="str">
        <f>_xlfn.XLOOKUP(call_center_data[[#This Row],[agent_id]],Table1[Agent ID],Table1[Supervisor])</f>
        <v>Carol Mario</v>
      </c>
      <c r="E30" s="6">
        <f>_xlfn.XLOOKUP(call_center_data[[#This Row],[agent_id]],Table1[Agent ID],Table1[Hire Date])</f>
        <v>43687</v>
      </c>
      <c r="F30" s="7">
        <f>DATEDIF(call_center_data[[#This Row],[Hire Date]],$Q$6,"M")</f>
        <v>22</v>
      </c>
      <c r="G30" s="6">
        <v>44368</v>
      </c>
      <c r="H30" s="6" t="str">
        <f>TEXT(call_center_data[[#This Row],[date]],"DDD")</f>
        <v>Mon</v>
      </c>
      <c r="I30" s="5">
        <v>1</v>
      </c>
      <c r="J30" s="5" t="str">
        <f>_xlfn.XLOOKUP(call_center_data[[#This Row],[product_id]],Table2[Product_ID],Table2[Product_Name])</f>
        <v>Personal Loan</v>
      </c>
      <c r="K30" s="5">
        <v>1</v>
      </c>
      <c r="L30" s="7">
        <v>560</v>
      </c>
      <c r="M30" s="8">
        <f>call_center_data[[#This Row],[avg_ht]]/86400</f>
        <v>6.4814814814814813E-3</v>
      </c>
      <c r="N30" s="5">
        <v>39</v>
      </c>
      <c r="O30" s="5">
        <v>8</v>
      </c>
      <c r="Q30" s="16" t="s">
        <v>3</v>
      </c>
      <c r="R30" s="16"/>
    </row>
    <row r="31" spans="2:18" x14ac:dyDescent="0.25">
      <c r="B31" s="5">
        <v>9</v>
      </c>
      <c r="C31" s="5" t="str">
        <f>_xlfn.XLOOKUP(call_center_data[[#This Row],[agent_id]],Table1[Agent ID],Table1[Full Name])</f>
        <v>Cherry Castillo</v>
      </c>
      <c r="D31" s="5" t="str">
        <f>_xlfn.XLOOKUP(call_center_data[[#This Row],[agent_id]],Table1[Agent ID],Table1[Supervisor])</f>
        <v>Lester De Mesa</v>
      </c>
      <c r="E31" s="6">
        <f>_xlfn.XLOOKUP(call_center_data[[#This Row],[agent_id]],Table1[Agent ID],Table1[Hire Date])</f>
        <v>44226</v>
      </c>
      <c r="F31" s="7">
        <f>DATEDIF(call_center_data[[#This Row],[Hire Date]],$Q$6,"M")</f>
        <v>5</v>
      </c>
      <c r="G31" s="6">
        <v>44369</v>
      </c>
      <c r="H31" s="6" t="str">
        <f>TEXT(call_center_data[[#This Row],[date]],"DDD")</f>
        <v>Tue</v>
      </c>
      <c r="I31" s="5">
        <v>3</v>
      </c>
      <c r="J31" s="5" t="str">
        <f>_xlfn.XLOOKUP(call_center_data[[#This Row],[product_id]],Table2[Product_ID],Table2[Product_Name])</f>
        <v>Property Loan</v>
      </c>
      <c r="K31" s="5">
        <v>37</v>
      </c>
      <c r="L31" s="7">
        <v>74</v>
      </c>
      <c r="M31" s="8">
        <f>call_center_data[[#This Row],[avg_ht]]/86400</f>
        <v>8.564814814814815E-4</v>
      </c>
      <c r="N31" s="5">
        <v>79</v>
      </c>
      <c r="O31" s="5">
        <v>6</v>
      </c>
    </row>
    <row r="32" spans="2:18" x14ac:dyDescent="0.25">
      <c r="B32" s="5">
        <v>9</v>
      </c>
      <c r="C32" s="5" t="str">
        <f>_xlfn.XLOOKUP(call_center_data[[#This Row],[agent_id]],Table1[Agent ID],Table1[Full Name])</f>
        <v>Cherry Castillo</v>
      </c>
      <c r="D32" s="5" t="str">
        <f>_xlfn.XLOOKUP(call_center_data[[#This Row],[agent_id]],Table1[Agent ID],Table1[Supervisor])</f>
        <v>Lester De Mesa</v>
      </c>
      <c r="E32" s="6">
        <f>_xlfn.XLOOKUP(call_center_data[[#This Row],[agent_id]],Table1[Agent ID],Table1[Hire Date])</f>
        <v>44226</v>
      </c>
      <c r="F32" s="7">
        <f>DATEDIF(call_center_data[[#This Row],[Hire Date]],$Q$6,"M")</f>
        <v>5</v>
      </c>
      <c r="G32" s="6">
        <v>44372</v>
      </c>
      <c r="H32" s="6" t="str">
        <f>TEXT(call_center_data[[#This Row],[date]],"DDD")</f>
        <v>Fri</v>
      </c>
      <c r="I32" s="5">
        <v>3</v>
      </c>
      <c r="J32" s="5" t="str">
        <f>_xlfn.XLOOKUP(call_center_data[[#This Row],[product_id]],Table2[Product_ID],Table2[Product_Name])</f>
        <v>Property Loan</v>
      </c>
      <c r="K32" s="5">
        <v>39</v>
      </c>
      <c r="L32" s="7">
        <v>105</v>
      </c>
      <c r="M32" s="8">
        <f>call_center_data[[#This Row],[avg_ht]]/86400</f>
        <v>1.2152777777777778E-3</v>
      </c>
      <c r="N32" s="5">
        <v>56</v>
      </c>
      <c r="O32" s="5">
        <v>7</v>
      </c>
      <c r="Q32" t="s">
        <v>49</v>
      </c>
      <c r="R32">
        <v>22.203187250996017</v>
      </c>
    </row>
    <row r="33" spans="2:18" x14ac:dyDescent="0.25">
      <c r="B33" s="5">
        <v>10</v>
      </c>
      <c r="C33" s="5" t="str">
        <f>_xlfn.XLOOKUP(call_center_data[[#This Row],[agent_id]],Table1[Agent ID],Table1[Full Name])</f>
        <v>Mark Ventura</v>
      </c>
      <c r="D33" s="5" t="str">
        <f>_xlfn.XLOOKUP(call_center_data[[#This Row],[agent_id]],Table1[Agent ID],Table1[Supervisor])</f>
        <v>Lester De Mesa</v>
      </c>
      <c r="E33" s="6">
        <f>_xlfn.XLOOKUP(call_center_data[[#This Row],[agent_id]],Table1[Agent ID],Table1[Hire Date])</f>
        <v>44238</v>
      </c>
      <c r="F33" s="7">
        <f>DATEDIF(call_center_data[[#This Row],[Hire Date]],$Q$6,"M")</f>
        <v>4</v>
      </c>
      <c r="G33" s="6">
        <v>44370</v>
      </c>
      <c r="H33" s="6" t="str">
        <f>TEXT(call_center_data[[#This Row],[date]],"DDD")</f>
        <v>Wed</v>
      </c>
      <c r="I33" s="5">
        <v>2</v>
      </c>
      <c r="J33" s="5" t="str">
        <f>_xlfn.XLOOKUP(call_center_data[[#This Row],[product_id]],Table2[Product_ID],Table2[Product_Name])</f>
        <v>Car Loan</v>
      </c>
      <c r="K33" s="5">
        <v>32</v>
      </c>
      <c r="L33" s="7">
        <v>101</v>
      </c>
      <c r="M33" s="8">
        <f>call_center_data[[#This Row],[avg_ht]]/86400</f>
        <v>1.1689814814814816E-3</v>
      </c>
      <c r="N33" s="5">
        <v>10</v>
      </c>
      <c r="O33" s="5">
        <v>10</v>
      </c>
      <c r="Q33" t="s">
        <v>50</v>
      </c>
      <c r="R33">
        <v>0.59875884177253214</v>
      </c>
    </row>
    <row r="34" spans="2:18" x14ac:dyDescent="0.25">
      <c r="B34" s="5">
        <v>7</v>
      </c>
      <c r="C34" s="5" t="str">
        <f>_xlfn.XLOOKUP(call_center_data[[#This Row],[agent_id]],Table1[Agent ID],Table1[Full Name])</f>
        <v>Peter Rivera</v>
      </c>
      <c r="D34" s="5" t="str">
        <f>_xlfn.XLOOKUP(call_center_data[[#This Row],[agent_id]],Table1[Agent ID],Table1[Supervisor])</f>
        <v>Carol Mario</v>
      </c>
      <c r="E34" s="6">
        <f>_xlfn.XLOOKUP(call_center_data[[#This Row],[agent_id]],Table1[Agent ID],Table1[Hire Date])</f>
        <v>44170</v>
      </c>
      <c r="F34" s="7">
        <f>DATEDIF(call_center_data[[#This Row],[Hire Date]],$Q$6,"M")</f>
        <v>6</v>
      </c>
      <c r="G34" s="6">
        <v>44352</v>
      </c>
      <c r="H34" s="6" t="str">
        <f>TEXT(call_center_data[[#This Row],[date]],"DDD")</f>
        <v>Sat</v>
      </c>
      <c r="I34" s="5">
        <v>2</v>
      </c>
      <c r="J34" s="5" t="str">
        <f>_xlfn.XLOOKUP(call_center_data[[#This Row],[product_id]],Table2[Product_ID],Table2[Product_Name])</f>
        <v>Car Loan</v>
      </c>
      <c r="K34" s="5">
        <v>23</v>
      </c>
      <c r="L34" s="7">
        <v>302</v>
      </c>
      <c r="M34" s="8">
        <f>call_center_data[[#This Row],[avg_ht]]/86400</f>
        <v>3.4953703703703705E-3</v>
      </c>
      <c r="N34" s="5">
        <v>59</v>
      </c>
      <c r="O34" s="5">
        <v>7</v>
      </c>
      <c r="Q34" t="s">
        <v>51</v>
      </c>
      <c r="R34">
        <v>23</v>
      </c>
    </row>
    <row r="35" spans="2:18" x14ac:dyDescent="0.25">
      <c r="B35" s="5">
        <v>10</v>
      </c>
      <c r="C35" s="5" t="str">
        <f>_xlfn.XLOOKUP(call_center_data[[#This Row],[agent_id]],Table1[Agent ID],Table1[Full Name])</f>
        <v>Mark Ventura</v>
      </c>
      <c r="D35" s="5" t="str">
        <f>_xlfn.XLOOKUP(call_center_data[[#This Row],[agent_id]],Table1[Agent ID],Table1[Supervisor])</f>
        <v>Lester De Mesa</v>
      </c>
      <c r="E35" s="6">
        <f>_xlfn.XLOOKUP(call_center_data[[#This Row],[agent_id]],Table1[Agent ID],Table1[Hire Date])</f>
        <v>44238</v>
      </c>
      <c r="F35" s="7">
        <f>DATEDIF(call_center_data[[#This Row],[Hire Date]],$Q$6,"M")</f>
        <v>4</v>
      </c>
      <c r="G35" s="6">
        <v>44361</v>
      </c>
      <c r="H35" s="6" t="str">
        <f>TEXT(call_center_data[[#This Row],[date]],"DDD")</f>
        <v>Mon</v>
      </c>
      <c r="I35" s="5">
        <v>2</v>
      </c>
      <c r="J35" s="5" t="str">
        <f>_xlfn.XLOOKUP(call_center_data[[#This Row],[product_id]],Table2[Product_ID],Table2[Product_Name])</f>
        <v>Car Loan</v>
      </c>
      <c r="K35" s="5">
        <v>34</v>
      </c>
      <c r="L35" s="7">
        <v>202</v>
      </c>
      <c r="M35" s="8">
        <f>call_center_data[[#This Row],[avg_ht]]/86400</f>
        <v>2.3379629629629631E-3</v>
      </c>
      <c r="N35" s="5">
        <v>37</v>
      </c>
      <c r="O35" s="5">
        <v>8</v>
      </c>
      <c r="Q35" t="s">
        <v>52</v>
      </c>
      <c r="R35">
        <v>25</v>
      </c>
    </row>
    <row r="36" spans="2:18" x14ac:dyDescent="0.25">
      <c r="B36" s="5">
        <v>3</v>
      </c>
      <c r="C36" s="5" t="str">
        <f>_xlfn.XLOOKUP(call_center_data[[#This Row],[agent_id]],Table1[Agent ID],Table1[Full Name])</f>
        <v>Cecille Chen</v>
      </c>
      <c r="D36" s="5" t="str">
        <f>_xlfn.XLOOKUP(call_center_data[[#This Row],[agent_id]],Table1[Agent ID],Table1[Supervisor])</f>
        <v>Lester De Mesa</v>
      </c>
      <c r="E36" s="6">
        <f>_xlfn.XLOOKUP(call_center_data[[#This Row],[agent_id]],Table1[Agent ID],Table1[Hire Date])</f>
        <v>43727</v>
      </c>
      <c r="F36" s="7">
        <f>DATEDIF(call_center_data[[#This Row],[Hire Date]],$Q$6,"M")</f>
        <v>21</v>
      </c>
      <c r="G36" s="6">
        <v>44361</v>
      </c>
      <c r="H36" s="6" t="str">
        <f>TEXT(call_center_data[[#This Row],[date]],"DDD")</f>
        <v>Mon</v>
      </c>
      <c r="I36" s="5">
        <v>1</v>
      </c>
      <c r="J36" s="5" t="str">
        <f>_xlfn.XLOOKUP(call_center_data[[#This Row],[product_id]],Table2[Product_ID],Table2[Product_Name])</f>
        <v>Personal Loan</v>
      </c>
      <c r="K36" s="5">
        <v>12</v>
      </c>
      <c r="L36" s="7">
        <v>1208</v>
      </c>
      <c r="M36" s="8">
        <f>call_center_data[[#This Row],[avg_ht]]/86400</f>
        <v>1.3981481481481482E-2</v>
      </c>
      <c r="N36" s="5">
        <v>75</v>
      </c>
      <c r="O36" s="5">
        <v>6</v>
      </c>
      <c r="Q36" t="s">
        <v>53</v>
      </c>
      <c r="R36">
        <v>9.4861240662768491</v>
      </c>
    </row>
    <row r="37" spans="2:18" x14ac:dyDescent="0.25">
      <c r="B37" s="5">
        <v>3</v>
      </c>
      <c r="C37" s="5" t="str">
        <f>_xlfn.XLOOKUP(call_center_data[[#This Row],[agent_id]],Table1[Agent ID],Table1[Full Name])</f>
        <v>Cecille Chen</v>
      </c>
      <c r="D37" s="5" t="str">
        <f>_xlfn.XLOOKUP(call_center_data[[#This Row],[agent_id]],Table1[Agent ID],Table1[Supervisor])</f>
        <v>Lester De Mesa</v>
      </c>
      <c r="E37" s="6">
        <f>_xlfn.XLOOKUP(call_center_data[[#This Row],[agent_id]],Table1[Agent ID],Table1[Hire Date])</f>
        <v>43727</v>
      </c>
      <c r="F37" s="7">
        <f>DATEDIF(call_center_data[[#This Row],[Hire Date]],$Q$6,"M")</f>
        <v>21</v>
      </c>
      <c r="G37" s="6">
        <v>44370</v>
      </c>
      <c r="H37" s="6" t="str">
        <f>TEXT(call_center_data[[#This Row],[date]],"DDD")</f>
        <v>Wed</v>
      </c>
      <c r="I37" s="5">
        <v>1</v>
      </c>
      <c r="J37" s="5" t="str">
        <f>_xlfn.XLOOKUP(call_center_data[[#This Row],[product_id]],Table2[Product_ID],Table2[Product_Name])</f>
        <v>Personal Loan</v>
      </c>
      <c r="K37" s="5">
        <v>13</v>
      </c>
      <c r="L37" s="7">
        <v>1935</v>
      </c>
      <c r="M37" s="8">
        <f>call_center_data[[#This Row],[avg_ht]]/86400</f>
        <v>2.2395833333333334E-2</v>
      </c>
      <c r="N37" s="5">
        <v>86</v>
      </c>
      <c r="O37" s="5">
        <v>6</v>
      </c>
      <c r="Q37" t="s">
        <v>54</v>
      </c>
      <c r="R37">
        <v>89.986549800796837</v>
      </c>
    </row>
    <row r="38" spans="2:18" x14ac:dyDescent="0.25">
      <c r="B38" s="5">
        <v>10</v>
      </c>
      <c r="C38" s="5" t="str">
        <f>_xlfn.XLOOKUP(call_center_data[[#This Row],[agent_id]],Table1[Agent ID],Table1[Full Name])</f>
        <v>Mark Ventura</v>
      </c>
      <c r="D38" s="5" t="str">
        <f>_xlfn.XLOOKUP(call_center_data[[#This Row],[agent_id]],Table1[Agent ID],Table1[Supervisor])</f>
        <v>Lester De Mesa</v>
      </c>
      <c r="E38" s="6">
        <f>_xlfn.XLOOKUP(call_center_data[[#This Row],[agent_id]],Table1[Agent ID],Table1[Hire Date])</f>
        <v>44238</v>
      </c>
      <c r="F38" s="7">
        <f>DATEDIF(call_center_data[[#This Row],[Hire Date]],$Q$6,"M")</f>
        <v>4</v>
      </c>
      <c r="G38" s="6">
        <v>44363</v>
      </c>
      <c r="H38" s="6" t="str">
        <f>TEXT(call_center_data[[#This Row],[date]],"DDD")</f>
        <v>Wed</v>
      </c>
      <c r="I38" s="5">
        <v>1</v>
      </c>
      <c r="J38" s="5" t="str">
        <f>_xlfn.XLOOKUP(call_center_data[[#This Row],[product_id]],Table2[Product_ID],Table2[Product_Name])</f>
        <v>Personal Loan</v>
      </c>
      <c r="K38" s="5">
        <v>31</v>
      </c>
      <c r="L38" s="7">
        <v>1386</v>
      </c>
      <c r="M38" s="8">
        <f>call_center_data[[#This Row],[avg_ht]]/86400</f>
        <v>1.6041666666666666E-2</v>
      </c>
      <c r="N38" s="5">
        <v>24</v>
      </c>
      <c r="O38" s="5">
        <v>9</v>
      </c>
      <c r="Q38" t="s">
        <v>55</v>
      </c>
      <c r="R38">
        <v>-0.70613626624932779</v>
      </c>
    </row>
    <row r="39" spans="2:18" x14ac:dyDescent="0.25">
      <c r="B39" s="5">
        <v>7</v>
      </c>
      <c r="C39" s="5" t="str">
        <f>_xlfn.XLOOKUP(call_center_data[[#This Row],[agent_id]],Table1[Agent ID],Table1[Full Name])</f>
        <v>Peter Rivera</v>
      </c>
      <c r="D39" s="5" t="str">
        <f>_xlfn.XLOOKUP(call_center_data[[#This Row],[agent_id]],Table1[Agent ID],Table1[Supervisor])</f>
        <v>Carol Mario</v>
      </c>
      <c r="E39" s="6">
        <f>_xlfn.XLOOKUP(call_center_data[[#This Row],[agent_id]],Table1[Agent ID],Table1[Hire Date])</f>
        <v>44170</v>
      </c>
      <c r="F39" s="7">
        <f>DATEDIF(call_center_data[[#This Row],[Hire Date]],$Q$6,"M")</f>
        <v>6</v>
      </c>
      <c r="G39" s="6">
        <v>44351</v>
      </c>
      <c r="H39" s="6" t="str">
        <f>TEXT(call_center_data[[#This Row],[date]],"DDD")</f>
        <v>Fri</v>
      </c>
      <c r="I39" s="5">
        <v>1</v>
      </c>
      <c r="J39" s="5" t="str">
        <f>_xlfn.XLOOKUP(call_center_data[[#This Row],[product_id]],Table2[Product_ID],Table2[Product_Name])</f>
        <v>Personal Loan</v>
      </c>
      <c r="K39" s="5">
        <v>25</v>
      </c>
      <c r="L39" s="7">
        <v>1371</v>
      </c>
      <c r="M39" s="8">
        <f>call_center_data[[#This Row],[avg_ht]]/86400</f>
        <v>1.5868055555555555E-2</v>
      </c>
      <c r="N39" s="5">
        <v>76</v>
      </c>
      <c r="O39" s="5">
        <v>6</v>
      </c>
      <c r="Q39" t="s">
        <v>56</v>
      </c>
      <c r="R39">
        <v>-0.34826782116917748</v>
      </c>
    </row>
    <row r="40" spans="2:18" x14ac:dyDescent="0.25">
      <c r="B40" s="5">
        <v>9</v>
      </c>
      <c r="C40" s="5" t="str">
        <f>_xlfn.XLOOKUP(call_center_data[[#This Row],[agent_id]],Table1[Agent ID],Table1[Full Name])</f>
        <v>Cherry Castillo</v>
      </c>
      <c r="D40" s="5" t="str">
        <f>_xlfn.XLOOKUP(call_center_data[[#This Row],[agent_id]],Table1[Agent ID],Table1[Supervisor])</f>
        <v>Lester De Mesa</v>
      </c>
      <c r="E40" s="6">
        <f>_xlfn.XLOOKUP(call_center_data[[#This Row],[agent_id]],Table1[Agent ID],Table1[Hire Date])</f>
        <v>44226</v>
      </c>
      <c r="F40" s="7">
        <f>DATEDIF(call_center_data[[#This Row],[Hire Date]],$Q$6,"M")</f>
        <v>5</v>
      </c>
      <c r="G40" s="6">
        <v>44371</v>
      </c>
      <c r="H40" s="6" t="str">
        <f>TEXT(call_center_data[[#This Row],[date]],"DDD")</f>
        <v>Thu</v>
      </c>
      <c r="I40" s="5">
        <v>2</v>
      </c>
      <c r="J40" s="5" t="str">
        <f>_xlfn.XLOOKUP(call_center_data[[#This Row],[product_id]],Table2[Product_ID],Table2[Product_Name])</f>
        <v>Car Loan</v>
      </c>
      <c r="K40" s="5">
        <v>34</v>
      </c>
      <c r="L40" s="7">
        <v>513</v>
      </c>
      <c r="M40" s="8">
        <f>call_center_data[[#This Row],[avg_ht]]/86400</f>
        <v>5.9375000000000001E-3</v>
      </c>
      <c r="N40" s="5">
        <v>31</v>
      </c>
      <c r="O40" s="5">
        <v>8</v>
      </c>
      <c r="Q40" t="s">
        <v>57</v>
      </c>
      <c r="R40">
        <v>38</v>
      </c>
    </row>
    <row r="41" spans="2:18" x14ac:dyDescent="0.25">
      <c r="B41" s="5">
        <v>1</v>
      </c>
      <c r="C41" s="5" t="str">
        <f>_xlfn.XLOOKUP(call_center_data[[#This Row],[agent_id]],Table1[Agent ID],Table1[Full Name])</f>
        <v>Lisa Diaz</v>
      </c>
      <c r="D41" s="5" t="str">
        <f>_xlfn.XLOOKUP(call_center_data[[#This Row],[agent_id]],Table1[Agent ID],Table1[Supervisor])</f>
        <v>Carol Mario</v>
      </c>
      <c r="E41" s="6">
        <f>_xlfn.XLOOKUP(call_center_data[[#This Row],[agent_id]],Table1[Agent ID],Table1[Hire Date])</f>
        <v>43625</v>
      </c>
      <c r="F41" s="7">
        <f>DATEDIF(call_center_data[[#This Row],[Hire Date]],$Q$6,"M")</f>
        <v>24</v>
      </c>
      <c r="G41" s="6">
        <v>44352</v>
      </c>
      <c r="H41" s="6" t="str">
        <f>TEXT(call_center_data[[#This Row],[date]],"DDD")</f>
        <v>Sat</v>
      </c>
      <c r="I41" s="5">
        <v>2</v>
      </c>
      <c r="J41" s="5" t="str">
        <f>_xlfn.XLOOKUP(call_center_data[[#This Row],[product_id]],Table2[Product_ID],Table2[Product_Name])</f>
        <v>Car Loan</v>
      </c>
      <c r="K41" s="5">
        <v>24</v>
      </c>
      <c r="L41" s="7">
        <v>907</v>
      </c>
      <c r="M41" s="8">
        <f>call_center_data[[#This Row],[avg_ht]]/86400</f>
        <v>1.0497685185185185E-2</v>
      </c>
      <c r="N41" s="5">
        <v>53</v>
      </c>
      <c r="O41" s="5">
        <v>7</v>
      </c>
      <c r="Q41" t="s">
        <v>58</v>
      </c>
      <c r="R41">
        <v>1</v>
      </c>
    </row>
    <row r="42" spans="2:18" x14ac:dyDescent="0.25">
      <c r="B42" s="5">
        <v>4</v>
      </c>
      <c r="C42" s="5" t="str">
        <f>_xlfn.XLOOKUP(call_center_data[[#This Row],[agent_id]],Table1[Agent ID],Table1[Full Name])</f>
        <v>Jay Alvarez</v>
      </c>
      <c r="D42" s="5" t="str">
        <f>_xlfn.XLOOKUP(call_center_data[[#This Row],[agent_id]],Table1[Agent ID],Table1[Supervisor])</f>
        <v>Carol Mario</v>
      </c>
      <c r="E42" s="6">
        <f>_xlfn.XLOOKUP(call_center_data[[#This Row],[agent_id]],Table1[Agent ID],Table1[Hire Date])</f>
        <v>43871</v>
      </c>
      <c r="F42" s="7">
        <f>DATEDIF(call_center_data[[#This Row],[Hire Date]],$Q$6,"M")</f>
        <v>16</v>
      </c>
      <c r="G42" s="6">
        <v>44359</v>
      </c>
      <c r="H42" s="6" t="str">
        <f>TEXT(call_center_data[[#This Row],[date]],"DDD")</f>
        <v>Sat</v>
      </c>
      <c r="I42" s="5">
        <v>3</v>
      </c>
      <c r="J42" s="5" t="str">
        <f>_xlfn.XLOOKUP(call_center_data[[#This Row],[product_id]],Table2[Product_ID],Table2[Product_Name])</f>
        <v>Property Loan</v>
      </c>
      <c r="K42" s="5">
        <v>23</v>
      </c>
      <c r="L42" s="7">
        <v>87</v>
      </c>
      <c r="M42" s="8">
        <f>call_center_data[[#This Row],[avg_ht]]/86400</f>
        <v>1.0069444444444444E-3</v>
      </c>
      <c r="N42" s="5">
        <v>30</v>
      </c>
      <c r="O42" s="5">
        <v>8</v>
      </c>
      <c r="Q42" t="s">
        <v>59</v>
      </c>
      <c r="R42">
        <v>39</v>
      </c>
    </row>
    <row r="43" spans="2:18" x14ac:dyDescent="0.25">
      <c r="B43" s="5">
        <v>9</v>
      </c>
      <c r="C43" s="5" t="str">
        <f>_xlfn.XLOOKUP(call_center_data[[#This Row],[agent_id]],Table1[Agent ID],Table1[Full Name])</f>
        <v>Cherry Castillo</v>
      </c>
      <c r="D43" s="5" t="str">
        <f>_xlfn.XLOOKUP(call_center_data[[#This Row],[agent_id]],Table1[Agent ID],Table1[Supervisor])</f>
        <v>Lester De Mesa</v>
      </c>
      <c r="E43" s="6">
        <f>_xlfn.XLOOKUP(call_center_data[[#This Row],[agent_id]],Table1[Agent ID],Table1[Hire Date])</f>
        <v>44226</v>
      </c>
      <c r="F43" s="7">
        <f>DATEDIF(call_center_data[[#This Row],[Hire Date]],$Q$6,"M")</f>
        <v>5</v>
      </c>
      <c r="G43" s="6">
        <v>44364</v>
      </c>
      <c r="H43" s="6" t="str">
        <f>TEXT(call_center_data[[#This Row],[date]],"DDD")</f>
        <v>Thu</v>
      </c>
      <c r="I43" s="5">
        <v>1</v>
      </c>
      <c r="J43" s="5" t="str">
        <f>_xlfn.XLOOKUP(call_center_data[[#This Row],[product_id]],Table2[Product_ID],Table2[Product_Name])</f>
        <v>Personal Loan</v>
      </c>
      <c r="K43" s="5">
        <v>33</v>
      </c>
      <c r="L43" s="7">
        <v>147</v>
      </c>
      <c r="M43" s="8">
        <f>call_center_data[[#This Row],[avg_ht]]/86400</f>
        <v>1.7013888888888888E-3</v>
      </c>
      <c r="N43" s="5">
        <v>29</v>
      </c>
      <c r="O43" s="5">
        <v>10</v>
      </c>
      <c r="Q43" t="s">
        <v>60</v>
      </c>
      <c r="R43">
        <v>5573</v>
      </c>
    </row>
    <row r="44" spans="2:18" ht="15.75" thickBot="1" x14ac:dyDescent="0.3">
      <c r="B44" s="5">
        <v>6</v>
      </c>
      <c r="C44" s="5" t="str">
        <f>_xlfn.XLOOKUP(call_center_data[[#This Row],[agent_id]],Table1[Agent ID],Table1[Full Name])</f>
        <v>Jane Hernandez</v>
      </c>
      <c r="D44" s="5" t="str">
        <f>_xlfn.XLOOKUP(call_center_data[[#This Row],[agent_id]],Table1[Agent ID],Table1[Supervisor])</f>
        <v>Lester De Mesa</v>
      </c>
      <c r="E44" s="6">
        <f>_xlfn.XLOOKUP(call_center_data[[#This Row],[agent_id]],Table1[Agent ID],Table1[Hire Date])</f>
        <v>44116</v>
      </c>
      <c r="F44" s="7">
        <f>DATEDIF(call_center_data[[#This Row],[Hire Date]],$Q$6,"M")</f>
        <v>8</v>
      </c>
      <c r="G44" s="6">
        <v>44350</v>
      </c>
      <c r="H44" s="6" t="str">
        <f>TEXT(call_center_data[[#This Row],[date]],"DDD")</f>
        <v>Thu</v>
      </c>
      <c r="I44" s="5">
        <v>2</v>
      </c>
      <c r="J44" s="5" t="str">
        <f>_xlfn.XLOOKUP(call_center_data[[#This Row],[product_id]],Table2[Product_ID],Table2[Product_Name])</f>
        <v>Car Loan</v>
      </c>
      <c r="K44" s="5">
        <v>20</v>
      </c>
      <c r="L44" s="7">
        <v>127</v>
      </c>
      <c r="M44" s="8">
        <f>call_center_data[[#This Row],[avg_ht]]/86400</f>
        <v>1.4699074074074074E-3</v>
      </c>
      <c r="N44" s="5">
        <v>63</v>
      </c>
      <c r="O44" s="5">
        <v>7</v>
      </c>
      <c r="Q44" s="3" t="s">
        <v>61</v>
      </c>
      <c r="R44" s="3">
        <v>251</v>
      </c>
    </row>
    <row r="45" spans="2:18" x14ac:dyDescent="0.25">
      <c r="B45" s="5">
        <v>4</v>
      </c>
      <c r="C45" s="5" t="str">
        <f>_xlfn.XLOOKUP(call_center_data[[#This Row],[agent_id]],Table1[Agent ID],Table1[Full Name])</f>
        <v>Jay Alvarez</v>
      </c>
      <c r="D45" s="5" t="str">
        <f>_xlfn.XLOOKUP(call_center_data[[#This Row],[agent_id]],Table1[Agent ID],Table1[Supervisor])</f>
        <v>Carol Mario</v>
      </c>
      <c r="E45" s="6">
        <f>_xlfn.XLOOKUP(call_center_data[[#This Row],[agent_id]],Table1[Agent ID],Table1[Hire Date])</f>
        <v>43871</v>
      </c>
      <c r="F45" s="7">
        <f>DATEDIF(call_center_data[[#This Row],[Hire Date]],$Q$6,"M")</f>
        <v>16</v>
      </c>
      <c r="G45" s="6">
        <v>44362</v>
      </c>
      <c r="H45" s="6" t="str">
        <f>TEXT(call_center_data[[#This Row],[date]],"DDD")</f>
        <v>Tue</v>
      </c>
      <c r="I45" s="5">
        <v>3</v>
      </c>
      <c r="J45" s="5" t="str">
        <f>_xlfn.XLOOKUP(call_center_data[[#This Row],[product_id]],Table2[Product_ID],Table2[Product_Name])</f>
        <v>Property Loan</v>
      </c>
      <c r="K45" s="5">
        <v>12</v>
      </c>
      <c r="L45" s="7">
        <v>228</v>
      </c>
      <c r="M45" s="8">
        <f>call_center_data[[#This Row],[avg_ht]]/86400</f>
        <v>2.638888888888889E-3</v>
      </c>
      <c r="N45" s="5">
        <v>87</v>
      </c>
      <c r="O45" s="5">
        <v>6</v>
      </c>
    </row>
    <row r="46" spans="2:18" x14ac:dyDescent="0.25">
      <c r="B46" s="5">
        <v>8</v>
      </c>
      <c r="C46" s="5" t="str">
        <f>_xlfn.XLOOKUP(call_center_data[[#This Row],[agent_id]],Table1[Agent ID],Table1[Full Name])</f>
        <v>Rachel Delos Santos</v>
      </c>
      <c r="D46" s="5" t="str">
        <f>_xlfn.XLOOKUP(call_center_data[[#This Row],[agent_id]],Table1[Agent ID],Table1[Supervisor])</f>
        <v>Carol Mario</v>
      </c>
      <c r="E46" s="6">
        <f>_xlfn.XLOOKUP(call_center_data[[#This Row],[agent_id]],Table1[Agent ID],Table1[Hire Date])</f>
        <v>44212</v>
      </c>
      <c r="F46" s="7">
        <f>DATEDIF(call_center_data[[#This Row],[Hire Date]],$Q$6,"M")</f>
        <v>5</v>
      </c>
      <c r="G46" s="6">
        <v>44370</v>
      </c>
      <c r="H46" s="6" t="str">
        <f>TEXT(call_center_data[[#This Row],[date]],"DDD")</f>
        <v>Wed</v>
      </c>
      <c r="I46" s="5">
        <v>3</v>
      </c>
      <c r="J46" s="5" t="str">
        <f>_xlfn.XLOOKUP(call_center_data[[#This Row],[product_id]],Table2[Product_ID],Table2[Product_Name])</f>
        <v>Property Loan</v>
      </c>
      <c r="K46" s="5">
        <v>26</v>
      </c>
      <c r="L46" s="7">
        <v>155</v>
      </c>
      <c r="M46" s="8">
        <f>call_center_data[[#This Row],[avg_ht]]/86400</f>
        <v>1.7939814814814815E-3</v>
      </c>
      <c r="N46" s="5">
        <v>67</v>
      </c>
      <c r="O46" s="5">
        <v>7</v>
      </c>
    </row>
    <row r="47" spans="2:18" x14ac:dyDescent="0.25">
      <c r="B47" s="5">
        <v>7</v>
      </c>
      <c r="C47" s="5" t="str">
        <f>_xlfn.XLOOKUP(call_center_data[[#This Row],[agent_id]],Table1[Agent ID],Table1[Full Name])</f>
        <v>Peter Rivera</v>
      </c>
      <c r="D47" s="5" t="str">
        <f>_xlfn.XLOOKUP(call_center_data[[#This Row],[agent_id]],Table1[Agent ID],Table1[Supervisor])</f>
        <v>Carol Mario</v>
      </c>
      <c r="E47" s="6">
        <f>_xlfn.XLOOKUP(call_center_data[[#This Row],[agent_id]],Table1[Agent ID],Table1[Hire Date])</f>
        <v>44170</v>
      </c>
      <c r="F47" s="7">
        <f>DATEDIF(call_center_data[[#This Row],[Hire Date]],$Q$6,"M")</f>
        <v>6</v>
      </c>
      <c r="G47" s="6">
        <v>44350</v>
      </c>
      <c r="H47" s="6" t="str">
        <f>TEXT(call_center_data[[#This Row],[date]],"DDD")</f>
        <v>Thu</v>
      </c>
      <c r="I47" s="5">
        <v>3</v>
      </c>
      <c r="J47" s="5" t="str">
        <f>_xlfn.XLOOKUP(call_center_data[[#This Row],[product_id]],Table2[Product_ID],Table2[Product_Name])</f>
        <v>Property Loan</v>
      </c>
      <c r="K47" s="5">
        <v>31</v>
      </c>
      <c r="L47" s="7">
        <v>24</v>
      </c>
      <c r="M47" s="8">
        <f>call_center_data[[#This Row],[avg_ht]]/86400</f>
        <v>2.7777777777777778E-4</v>
      </c>
      <c r="N47" s="5">
        <v>43</v>
      </c>
      <c r="O47" s="5">
        <v>8</v>
      </c>
    </row>
    <row r="48" spans="2:18" ht="15.75" thickBot="1" x14ac:dyDescent="0.3">
      <c r="B48" s="5">
        <v>6</v>
      </c>
      <c r="C48" s="5" t="str">
        <f>_xlfn.XLOOKUP(call_center_data[[#This Row],[agent_id]],Table1[Agent ID],Table1[Full Name])</f>
        <v>Jane Hernandez</v>
      </c>
      <c r="D48" s="5" t="str">
        <f>_xlfn.XLOOKUP(call_center_data[[#This Row],[agent_id]],Table1[Agent ID],Table1[Supervisor])</f>
        <v>Lester De Mesa</v>
      </c>
      <c r="E48" s="6">
        <f>_xlfn.XLOOKUP(call_center_data[[#This Row],[agent_id]],Table1[Agent ID],Table1[Hire Date])</f>
        <v>44116</v>
      </c>
      <c r="F48" s="7">
        <f>DATEDIF(call_center_data[[#This Row],[Hire Date]],$Q$6,"M")</f>
        <v>8</v>
      </c>
      <c r="G48" s="6">
        <v>44363</v>
      </c>
      <c r="H48" s="6" t="str">
        <f>TEXT(call_center_data[[#This Row],[date]],"DDD")</f>
        <v>Wed</v>
      </c>
      <c r="I48" s="5">
        <v>3</v>
      </c>
      <c r="J48" s="5" t="str">
        <f>_xlfn.XLOOKUP(call_center_data[[#This Row],[product_id]],Table2[Product_ID],Table2[Product_Name])</f>
        <v>Property Loan</v>
      </c>
      <c r="K48" s="5">
        <v>19</v>
      </c>
      <c r="L48" s="7">
        <v>101</v>
      </c>
      <c r="M48" s="8">
        <f>call_center_data[[#This Row],[avg_ht]]/86400</f>
        <v>1.1689814814814816E-3</v>
      </c>
      <c r="N48" s="5">
        <v>27</v>
      </c>
      <c r="O48" s="5">
        <v>8</v>
      </c>
      <c r="Q48" s="40" t="s">
        <v>62</v>
      </c>
      <c r="R48" s="40"/>
    </row>
    <row r="49" spans="2:18" x14ac:dyDescent="0.25">
      <c r="B49" s="5">
        <v>3</v>
      </c>
      <c r="C49" s="5" t="str">
        <f>_xlfn.XLOOKUP(call_center_data[[#This Row],[agent_id]],Table1[Agent ID],Table1[Full Name])</f>
        <v>Cecille Chen</v>
      </c>
      <c r="D49" s="5" t="str">
        <f>_xlfn.XLOOKUP(call_center_data[[#This Row],[agent_id]],Table1[Agent ID],Table1[Supervisor])</f>
        <v>Lester De Mesa</v>
      </c>
      <c r="E49" s="6">
        <f>_xlfn.XLOOKUP(call_center_data[[#This Row],[agent_id]],Table1[Agent ID],Table1[Hire Date])</f>
        <v>43727</v>
      </c>
      <c r="F49" s="7">
        <f>DATEDIF(call_center_data[[#This Row],[Hire Date]],$Q$6,"M")</f>
        <v>21</v>
      </c>
      <c r="G49" s="6">
        <v>44360</v>
      </c>
      <c r="H49" s="6" t="str">
        <f>TEXT(call_center_data[[#This Row],[date]],"DDD")</f>
        <v>Sun</v>
      </c>
      <c r="I49" s="5">
        <v>3</v>
      </c>
      <c r="J49" s="5" t="str">
        <f>_xlfn.XLOOKUP(call_center_data[[#This Row],[product_id]],Table2[Product_ID],Table2[Product_Name])</f>
        <v>Property Loan</v>
      </c>
      <c r="K49" s="5">
        <v>18</v>
      </c>
      <c r="L49" s="7">
        <v>189</v>
      </c>
      <c r="M49" s="8">
        <f>call_center_data[[#This Row],[avg_ht]]/86400</f>
        <v>2.1875000000000002E-3</v>
      </c>
      <c r="N49" s="5">
        <v>38</v>
      </c>
      <c r="O49" s="5">
        <v>8</v>
      </c>
      <c r="Q49" s="16" t="s">
        <v>63</v>
      </c>
      <c r="R49" s="16"/>
    </row>
    <row r="50" spans="2:18" x14ac:dyDescent="0.25">
      <c r="B50" s="5">
        <v>8</v>
      </c>
      <c r="C50" s="5" t="str">
        <f>_xlfn.XLOOKUP(call_center_data[[#This Row],[agent_id]],Table1[Agent ID],Table1[Full Name])</f>
        <v>Rachel Delos Santos</v>
      </c>
      <c r="D50" s="5" t="str">
        <f>_xlfn.XLOOKUP(call_center_data[[#This Row],[agent_id]],Table1[Agent ID],Table1[Supervisor])</f>
        <v>Carol Mario</v>
      </c>
      <c r="E50" s="6">
        <f>_xlfn.XLOOKUP(call_center_data[[#This Row],[agent_id]],Table1[Agent ID],Table1[Hire Date])</f>
        <v>44212</v>
      </c>
      <c r="F50" s="7">
        <f>DATEDIF(call_center_data[[#This Row],[Hire Date]],$Q$6,"M")</f>
        <v>5</v>
      </c>
      <c r="G50" s="6">
        <v>44363</v>
      </c>
      <c r="H50" s="6" t="str">
        <f>TEXT(call_center_data[[#This Row],[date]],"DDD")</f>
        <v>Wed</v>
      </c>
      <c r="I50" s="5">
        <v>2</v>
      </c>
      <c r="J50" s="5" t="str">
        <f>_xlfn.XLOOKUP(call_center_data[[#This Row],[product_id]],Table2[Product_ID],Table2[Product_Name])</f>
        <v>Car Loan</v>
      </c>
      <c r="K50" s="5">
        <v>24</v>
      </c>
      <c r="L50" s="7">
        <v>124</v>
      </c>
      <c r="M50" s="8">
        <f>call_center_data[[#This Row],[avg_ht]]/86400</f>
        <v>1.4351851851851852E-3</v>
      </c>
      <c r="N50" s="5">
        <v>24</v>
      </c>
      <c r="O50" s="5">
        <v>9</v>
      </c>
    </row>
    <row r="51" spans="2:18" x14ac:dyDescent="0.25">
      <c r="B51" s="5">
        <v>8</v>
      </c>
      <c r="C51" s="5" t="str">
        <f>_xlfn.XLOOKUP(call_center_data[[#This Row],[agent_id]],Table1[Agent ID],Table1[Full Name])</f>
        <v>Rachel Delos Santos</v>
      </c>
      <c r="D51" s="5" t="str">
        <f>_xlfn.XLOOKUP(call_center_data[[#This Row],[agent_id]],Table1[Agent ID],Table1[Supervisor])</f>
        <v>Carol Mario</v>
      </c>
      <c r="E51" s="6">
        <f>_xlfn.XLOOKUP(call_center_data[[#This Row],[agent_id]],Table1[Agent ID],Table1[Hire Date])</f>
        <v>44212</v>
      </c>
      <c r="F51" s="7">
        <f>DATEDIF(call_center_data[[#This Row],[Hire Date]],$Q$6,"M")</f>
        <v>5</v>
      </c>
      <c r="G51" s="6">
        <v>44359</v>
      </c>
      <c r="H51" s="6" t="str">
        <f>TEXT(call_center_data[[#This Row],[date]],"DDD")</f>
        <v>Sat</v>
      </c>
      <c r="I51" s="5">
        <v>1</v>
      </c>
      <c r="J51" s="5" t="str">
        <f>_xlfn.XLOOKUP(call_center_data[[#This Row],[product_id]],Table2[Product_ID],Table2[Product_Name])</f>
        <v>Personal Loan</v>
      </c>
      <c r="K51" s="5">
        <v>23</v>
      </c>
      <c r="L51" s="7">
        <v>967</v>
      </c>
      <c r="M51" s="8">
        <f>call_center_data[[#This Row],[avg_ht]]/86400</f>
        <v>1.119212962962963E-2</v>
      </c>
      <c r="N51" s="5">
        <v>89</v>
      </c>
      <c r="O51" s="5">
        <v>5</v>
      </c>
      <c r="Q51" t="s">
        <v>49</v>
      </c>
      <c r="R51">
        <v>648.19521912350592</v>
      </c>
    </row>
    <row r="52" spans="2:18" x14ac:dyDescent="0.25">
      <c r="B52" s="5">
        <v>3</v>
      </c>
      <c r="C52" s="5" t="str">
        <f>_xlfn.XLOOKUP(call_center_data[[#This Row],[agent_id]],Table1[Agent ID],Table1[Full Name])</f>
        <v>Cecille Chen</v>
      </c>
      <c r="D52" s="5" t="str">
        <f>_xlfn.XLOOKUP(call_center_data[[#This Row],[agent_id]],Table1[Agent ID],Table1[Supervisor])</f>
        <v>Lester De Mesa</v>
      </c>
      <c r="E52" s="6">
        <f>_xlfn.XLOOKUP(call_center_data[[#This Row],[agent_id]],Table1[Agent ID],Table1[Hire Date])</f>
        <v>43727</v>
      </c>
      <c r="F52" s="7">
        <f>DATEDIF(call_center_data[[#This Row],[Hire Date]],$Q$6,"M")</f>
        <v>21</v>
      </c>
      <c r="G52" s="6">
        <v>44355</v>
      </c>
      <c r="H52" s="6" t="str">
        <f>TEXT(call_center_data[[#This Row],[date]],"DDD")</f>
        <v>Tue</v>
      </c>
      <c r="I52" s="5">
        <v>1</v>
      </c>
      <c r="J52" s="5" t="str">
        <f>_xlfn.XLOOKUP(call_center_data[[#This Row],[product_id]],Table2[Product_ID],Table2[Product_Name])</f>
        <v>Personal Loan</v>
      </c>
      <c r="K52" s="5">
        <v>14</v>
      </c>
      <c r="L52" s="7">
        <v>1902</v>
      </c>
      <c r="M52" s="8">
        <f>call_center_data[[#This Row],[avg_ht]]/86400</f>
        <v>2.2013888888888888E-2</v>
      </c>
      <c r="N52" s="5">
        <v>77</v>
      </c>
      <c r="O52" s="5">
        <v>6</v>
      </c>
      <c r="Q52" t="s">
        <v>50</v>
      </c>
      <c r="R52">
        <v>34.617616001074019</v>
      </c>
    </row>
    <row r="53" spans="2:18" x14ac:dyDescent="0.25">
      <c r="B53" s="5">
        <v>4</v>
      </c>
      <c r="C53" s="5" t="str">
        <f>_xlfn.XLOOKUP(call_center_data[[#This Row],[agent_id]],Table1[Agent ID],Table1[Full Name])</f>
        <v>Jay Alvarez</v>
      </c>
      <c r="D53" s="5" t="str">
        <f>_xlfn.XLOOKUP(call_center_data[[#This Row],[agent_id]],Table1[Agent ID],Table1[Supervisor])</f>
        <v>Carol Mario</v>
      </c>
      <c r="E53" s="6">
        <f>_xlfn.XLOOKUP(call_center_data[[#This Row],[agent_id]],Table1[Agent ID],Table1[Hire Date])</f>
        <v>43871</v>
      </c>
      <c r="F53" s="7">
        <f>DATEDIF(call_center_data[[#This Row],[Hire Date]],$Q$6,"M")</f>
        <v>16</v>
      </c>
      <c r="G53" s="6">
        <v>44355</v>
      </c>
      <c r="H53" s="6" t="str">
        <f>TEXT(call_center_data[[#This Row],[date]],"DDD")</f>
        <v>Tue</v>
      </c>
      <c r="I53" s="5">
        <v>2</v>
      </c>
      <c r="J53" s="5" t="str">
        <f>_xlfn.XLOOKUP(call_center_data[[#This Row],[product_id]],Table2[Product_ID],Table2[Product_Name])</f>
        <v>Car Loan</v>
      </c>
      <c r="K53" s="5">
        <v>10</v>
      </c>
      <c r="L53" s="7">
        <v>33</v>
      </c>
      <c r="M53" s="8">
        <f>call_center_data[[#This Row],[avg_ht]]/86400</f>
        <v>3.8194444444444446E-4</v>
      </c>
      <c r="N53" s="5">
        <v>26</v>
      </c>
      <c r="O53" s="5">
        <v>10</v>
      </c>
      <c r="Q53" t="s">
        <v>51</v>
      </c>
      <c r="R53">
        <v>480</v>
      </c>
    </row>
    <row r="54" spans="2:18" x14ac:dyDescent="0.25">
      <c r="B54" s="5">
        <v>7</v>
      </c>
      <c r="C54" s="5" t="str">
        <f>_xlfn.XLOOKUP(call_center_data[[#This Row],[agent_id]],Table1[Agent ID],Table1[Full Name])</f>
        <v>Peter Rivera</v>
      </c>
      <c r="D54" s="5" t="str">
        <f>_xlfn.XLOOKUP(call_center_data[[#This Row],[agent_id]],Table1[Agent ID],Table1[Supervisor])</f>
        <v>Carol Mario</v>
      </c>
      <c r="E54" s="6">
        <f>_xlfn.XLOOKUP(call_center_data[[#This Row],[agent_id]],Table1[Agent ID],Table1[Hire Date])</f>
        <v>44170</v>
      </c>
      <c r="F54" s="7">
        <f>DATEDIF(call_center_data[[#This Row],[Hire Date]],$Q$6,"M")</f>
        <v>6</v>
      </c>
      <c r="G54" s="6">
        <v>44359</v>
      </c>
      <c r="H54" s="6" t="str">
        <f>TEXT(call_center_data[[#This Row],[date]],"DDD")</f>
        <v>Sat</v>
      </c>
      <c r="I54" s="5">
        <v>3</v>
      </c>
      <c r="J54" s="5" t="str">
        <f>_xlfn.XLOOKUP(call_center_data[[#This Row],[product_id]],Table2[Product_ID],Table2[Product_Name])</f>
        <v>Property Loan</v>
      </c>
      <c r="K54" s="5">
        <v>20</v>
      </c>
      <c r="L54" s="7">
        <v>107</v>
      </c>
      <c r="M54" s="8">
        <f>call_center_data[[#This Row],[avg_ht]]/86400</f>
        <v>1.238425925925926E-3</v>
      </c>
      <c r="N54" s="5">
        <v>53</v>
      </c>
      <c r="O54" s="5">
        <v>7</v>
      </c>
      <c r="Q54" t="s">
        <v>52</v>
      </c>
      <c r="R54">
        <v>101</v>
      </c>
    </row>
    <row r="55" spans="2:18" x14ac:dyDescent="0.25">
      <c r="B55" s="5">
        <v>6</v>
      </c>
      <c r="C55" s="5" t="str">
        <f>_xlfn.XLOOKUP(call_center_data[[#This Row],[agent_id]],Table1[Agent ID],Table1[Full Name])</f>
        <v>Jane Hernandez</v>
      </c>
      <c r="D55" s="5" t="str">
        <f>_xlfn.XLOOKUP(call_center_data[[#This Row],[agent_id]],Table1[Agent ID],Table1[Supervisor])</f>
        <v>Lester De Mesa</v>
      </c>
      <c r="E55" s="6">
        <f>_xlfn.XLOOKUP(call_center_data[[#This Row],[agent_id]],Table1[Agent ID],Table1[Hire Date])</f>
        <v>44116</v>
      </c>
      <c r="F55" s="7">
        <f>DATEDIF(call_center_data[[#This Row],[Hire Date]],$Q$6,"M")</f>
        <v>8</v>
      </c>
      <c r="G55" s="6">
        <v>44366</v>
      </c>
      <c r="H55" s="6" t="str">
        <f>TEXT(call_center_data[[#This Row],[date]],"DDD")</f>
        <v>Sat</v>
      </c>
      <c r="I55" s="5">
        <v>3</v>
      </c>
      <c r="J55" s="5" t="str">
        <f>_xlfn.XLOOKUP(call_center_data[[#This Row],[product_id]],Table2[Product_ID],Table2[Product_Name])</f>
        <v>Property Loan</v>
      </c>
      <c r="K55" s="5">
        <v>29</v>
      </c>
      <c r="L55" s="7">
        <v>382</v>
      </c>
      <c r="M55" s="8">
        <f>call_center_data[[#This Row],[avg_ht]]/86400</f>
        <v>4.4212962962962964E-3</v>
      </c>
      <c r="N55" s="5">
        <v>96</v>
      </c>
      <c r="O55" s="5">
        <v>5</v>
      </c>
      <c r="Q55" t="s">
        <v>53</v>
      </c>
      <c r="R55">
        <v>548.44618125851855</v>
      </c>
    </row>
    <row r="56" spans="2:18" x14ac:dyDescent="0.25">
      <c r="B56" s="5">
        <v>7</v>
      </c>
      <c r="C56" s="5" t="str">
        <f>_xlfn.XLOOKUP(call_center_data[[#This Row],[agent_id]],Table1[Agent ID],Table1[Full Name])</f>
        <v>Peter Rivera</v>
      </c>
      <c r="D56" s="5" t="str">
        <f>_xlfn.XLOOKUP(call_center_data[[#This Row],[agent_id]],Table1[Agent ID],Table1[Supervisor])</f>
        <v>Carol Mario</v>
      </c>
      <c r="E56" s="6">
        <f>_xlfn.XLOOKUP(call_center_data[[#This Row],[agent_id]],Table1[Agent ID],Table1[Hire Date])</f>
        <v>44170</v>
      </c>
      <c r="F56" s="7">
        <f>DATEDIF(call_center_data[[#This Row],[Hire Date]],$Q$6,"M")</f>
        <v>6</v>
      </c>
      <c r="G56" s="6">
        <v>44370</v>
      </c>
      <c r="H56" s="6" t="str">
        <f>TEXT(call_center_data[[#This Row],[date]],"DDD")</f>
        <v>Wed</v>
      </c>
      <c r="I56" s="5">
        <v>2</v>
      </c>
      <c r="J56" s="5" t="str">
        <f>_xlfn.XLOOKUP(call_center_data[[#This Row],[product_id]],Table2[Product_ID],Table2[Product_Name])</f>
        <v>Car Loan</v>
      </c>
      <c r="K56" s="5">
        <v>28</v>
      </c>
      <c r="L56" s="7">
        <v>497</v>
      </c>
      <c r="M56" s="8">
        <f>call_center_data[[#This Row],[avg_ht]]/86400</f>
        <v>5.7523148148148151E-3</v>
      </c>
      <c r="N56" s="5">
        <v>68</v>
      </c>
      <c r="O56" s="5">
        <v>6</v>
      </c>
      <c r="Q56" t="s">
        <v>54</v>
      </c>
      <c r="R56">
        <v>300793.21373705176</v>
      </c>
    </row>
    <row r="57" spans="2:18" x14ac:dyDescent="0.25">
      <c r="B57" s="5">
        <v>4</v>
      </c>
      <c r="C57" s="5" t="str">
        <f>_xlfn.XLOOKUP(call_center_data[[#This Row],[agent_id]],Table1[Agent ID],Table1[Full Name])</f>
        <v>Jay Alvarez</v>
      </c>
      <c r="D57" s="5" t="str">
        <f>_xlfn.XLOOKUP(call_center_data[[#This Row],[agent_id]],Table1[Agent ID],Table1[Supervisor])</f>
        <v>Carol Mario</v>
      </c>
      <c r="E57" s="6">
        <f>_xlfn.XLOOKUP(call_center_data[[#This Row],[agent_id]],Table1[Agent ID],Table1[Hire Date])</f>
        <v>43871</v>
      </c>
      <c r="F57" s="7">
        <f>DATEDIF(call_center_data[[#This Row],[Hire Date]],$Q$6,"M")</f>
        <v>16</v>
      </c>
      <c r="G57" s="6">
        <v>44360</v>
      </c>
      <c r="H57" s="6" t="str">
        <f>TEXT(call_center_data[[#This Row],[date]],"DDD")</f>
        <v>Sun</v>
      </c>
      <c r="I57" s="5">
        <v>1</v>
      </c>
      <c r="J57" s="5" t="str">
        <f>_xlfn.XLOOKUP(call_center_data[[#This Row],[product_id]],Table2[Product_ID],Table2[Product_Name])</f>
        <v>Personal Loan</v>
      </c>
      <c r="K57" s="5">
        <v>10</v>
      </c>
      <c r="L57" s="7">
        <v>817</v>
      </c>
      <c r="M57" s="8">
        <f>call_center_data[[#This Row],[avg_ht]]/86400</f>
        <v>9.4560185185185181E-3</v>
      </c>
      <c r="N57" s="5">
        <v>40</v>
      </c>
      <c r="O57" s="5">
        <v>8</v>
      </c>
      <c r="Q57" t="s">
        <v>55</v>
      </c>
      <c r="R57">
        <v>0.65782356050822877</v>
      </c>
    </row>
    <row r="58" spans="2:18" x14ac:dyDescent="0.25">
      <c r="B58" s="5">
        <v>8</v>
      </c>
      <c r="C58" s="5" t="str">
        <f>_xlfn.XLOOKUP(call_center_data[[#This Row],[agent_id]],Table1[Agent ID],Table1[Full Name])</f>
        <v>Rachel Delos Santos</v>
      </c>
      <c r="D58" s="5" t="str">
        <f>_xlfn.XLOOKUP(call_center_data[[#This Row],[agent_id]],Table1[Agent ID],Table1[Supervisor])</f>
        <v>Carol Mario</v>
      </c>
      <c r="E58" s="6">
        <f>_xlfn.XLOOKUP(call_center_data[[#This Row],[agent_id]],Table1[Agent ID],Table1[Hire Date])</f>
        <v>44212</v>
      </c>
      <c r="F58" s="7">
        <f>DATEDIF(call_center_data[[#This Row],[Hire Date]],$Q$6,"M")</f>
        <v>5</v>
      </c>
      <c r="G58" s="6">
        <v>44358</v>
      </c>
      <c r="H58" s="6" t="str">
        <f>TEXT(call_center_data[[#This Row],[date]],"DDD")</f>
        <v>Fri</v>
      </c>
      <c r="I58" s="5">
        <v>3</v>
      </c>
      <c r="J58" s="5" t="str">
        <f>_xlfn.XLOOKUP(call_center_data[[#This Row],[product_id]],Table2[Product_ID],Table2[Product_Name])</f>
        <v>Property Loan</v>
      </c>
      <c r="K58" s="5">
        <v>24</v>
      </c>
      <c r="L58" s="7">
        <v>190</v>
      </c>
      <c r="M58" s="8">
        <f>call_center_data[[#This Row],[avg_ht]]/86400</f>
        <v>2.1990740740740742E-3</v>
      </c>
      <c r="N58" s="5">
        <v>70</v>
      </c>
      <c r="O58" s="5">
        <v>7</v>
      </c>
      <c r="Q58" t="s">
        <v>56</v>
      </c>
      <c r="R58">
        <v>1.0661901751031022</v>
      </c>
    </row>
    <row r="59" spans="2:18" x14ac:dyDescent="0.25">
      <c r="B59" s="5">
        <v>1</v>
      </c>
      <c r="C59" s="5" t="str">
        <f>_xlfn.XLOOKUP(call_center_data[[#This Row],[agent_id]],Table1[Agent ID],Table1[Full Name])</f>
        <v>Lisa Diaz</v>
      </c>
      <c r="D59" s="5" t="str">
        <f>_xlfn.XLOOKUP(call_center_data[[#This Row],[agent_id]],Table1[Agent ID],Table1[Supervisor])</f>
        <v>Carol Mario</v>
      </c>
      <c r="E59" s="6">
        <f>_xlfn.XLOOKUP(call_center_data[[#This Row],[agent_id]],Table1[Agent ID],Table1[Hire Date])</f>
        <v>43625</v>
      </c>
      <c r="F59" s="7">
        <f>DATEDIF(call_center_data[[#This Row],[Hire Date]],$Q$6,"M")</f>
        <v>24</v>
      </c>
      <c r="G59" s="6">
        <v>44354</v>
      </c>
      <c r="H59" s="6" t="str">
        <f>TEXT(call_center_data[[#This Row],[date]],"DDD")</f>
        <v>Mon</v>
      </c>
      <c r="I59" s="5">
        <v>1</v>
      </c>
      <c r="J59" s="5" t="str">
        <f>_xlfn.XLOOKUP(call_center_data[[#This Row],[product_id]],Table2[Product_ID],Table2[Product_Name])</f>
        <v>Personal Loan</v>
      </c>
      <c r="K59" s="5">
        <v>5</v>
      </c>
      <c r="L59" s="7">
        <v>1987</v>
      </c>
      <c r="M59" s="8">
        <f>call_center_data[[#This Row],[avg_ht]]/86400</f>
        <v>2.2997685185185184E-2</v>
      </c>
      <c r="N59" s="5">
        <v>38</v>
      </c>
      <c r="O59" s="5">
        <v>9</v>
      </c>
      <c r="Q59" t="s">
        <v>57</v>
      </c>
      <c r="R59">
        <v>2964</v>
      </c>
    </row>
    <row r="60" spans="2:18" x14ac:dyDescent="0.25">
      <c r="B60" s="5">
        <v>4</v>
      </c>
      <c r="C60" s="5" t="str">
        <f>_xlfn.XLOOKUP(call_center_data[[#This Row],[agent_id]],Table1[Agent ID],Table1[Full Name])</f>
        <v>Jay Alvarez</v>
      </c>
      <c r="D60" s="5" t="str">
        <f>_xlfn.XLOOKUP(call_center_data[[#This Row],[agent_id]],Table1[Agent ID],Table1[Supervisor])</f>
        <v>Carol Mario</v>
      </c>
      <c r="E60" s="6">
        <f>_xlfn.XLOOKUP(call_center_data[[#This Row],[agent_id]],Table1[Agent ID],Table1[Hire Date])</f>
        <v>43871</v>
      </c>
      <c r="F60" s="7">
        <f>DATEDIF(call_center_data[[#This Row],[Hire Date]],$Q$6,"M")</f>
        <v>16</v>
      </c>
      <c r="G60" s="6">
        <v>44351</v>
      </c>
      <c r="H60" s="6" t="str">
        <f>TEXT(call_center_data[[#This Row],[date]],"DDD")</f>
        <v>Fri</v>
      </c>
      <c r="I60" s="5">
        <v>1</v>
      </c>
      <c r="J60" s="5" t="str">
        <f>_xlfn.XLOOKUP(call_center_data[[#This Row],[product_id]],Table2[Product_ID],Table2[Product_Name])</f>
        <v>Personal Loan</v>
      </c>
      <c r="K60" s="5">
        <v>27</v>
      </c>
      <c r="L60" s="7">
        <v>396</v>
      </c>
      <c r="M60" s="8">
        <f>call_center_data[[#This Row],[avg_ht]]/86400</f>
        <v>4.5833333333333334E-3</v>
      </c>
      <c r="N60" s="5">
        <v>97</v>
      </c>
      <c r="O60" s="5">
        <v>5</v>
      </c>
      <c r="Q60" t="s">
        <v>58</v>
      </c>
      <c r="R60">
        <v>8</v>
      </c>
    </row>
    <row r="61" spans="2:18" x14ac:dyDescent="0.25">
      <c r="B61" s="5">
        <v>5</v>
      </c>
      <c r="C61" s="5" t="str">
        <f>_xlfn.XLOOKUP(call_center_data[[#This Row],[agent_id]],Table1[Agent ID],Table1[Full Name])</f>
        <v>Eric Molina</v>
      </c>
      <c r="D61" s="5" t="str">
        <f>_xlfn.XLOOKUP(call_center_data[[#This Row],[agent_id]],Table1[Agent ID],Table1[Supervisor])</f>
        <v>Lester De Mesa</v>
      </c>
      <c r="E61" s="6">
        <f>_xlfn.XLOOKUP(call_center_data[[#This Row],[agent_id]],Table1[Agent ID],Table1[Hire Date])</f>
        <v>43966</v>
      </c>
      <c r="F61" s="7">
        <f>DATEDIF(call_center_data[[#This Row],[Hire Date]],$Q$6,"M")</f>
        <v>13</v>
      </c>
      <c r="G61" s="6">
        <v>44365</v>
      </c>
      <c r="H61" s="6" t="str">
        <f>TEXT(call_center_data[[#This Row],[date]],"DDD")</f>
        <v>Fri</v>
      </c>
      <c r="I61" s="5">
        <v>1</v>
      </c>
      <c r="J61" s="5" t="str">
        <f>_xlfn.XLOOKUP(call_center_data[[#This Row],[product_id]],Table2[Product_ID],Table2[Product_Name])</f>
        <v>Personal Loan</v>
      </c>
      <c r="K61" s="5">
        <v>20</v>
      </c>
      <c r="L61" s="7">
        <v>1326</v>
      </c>
      <c r="M61" s="8">
        <f>call_center_data[[#This Row],[avg_ht]]/86400</f>
        <v>1.5347222222222222E-2</v>
      </c>
      <c r="N61" s="5">
        <v>25</v>
      </c>
      <c r="O61" s="5">
        <v>8</v>
      </c>
      <c r="Q61" t="s">
        <v>59</v>
      </c>
      <c r="R61">
        <v>2972</v>
      </c>
    </row>
    <row r="62" spans="2:18" x14ac:dyDescent="0.25">
      <c r="B62" s="5">
        <v>5</v>
      </c>
      <c r="C62" s="5" t="str">
        <f>_xlfn.XLOOKUP(call_center_data[[#This Row],[agent_id]],Table1[Agent ID],Table1[Full Name])</f>
        <v>Eric Molina</v>
      </c>
      <c r="D62" s="5" t="str">
        <f>_xlfn.XLOOKUP(call_center_data[[#This Row],[agent_id]],Table1[Agent ID],Table1[Supervisor])</f>
        <v>Lester De Mesa</v>
      </c>
      <c r="E62" s="6">
        <f>_xlfn.XLOOKUP(call_center_data[[#This Row],[agent_id]],Table1[Agent ID],Table1[Hire Date])</f>
        <v>43966</v>
      </c>
      <c r="F62" s="7">
        <f>DATEDIF(call_center_data[[#This Row],[Hire Date]],$Q$6,"M")</f>
        <v>13</v>
      </c>
      <c r="G62" s="6">
        <v>44362</v>
      </c>
      <c r="H62" s="6" t="str">
        <f>TEXT(call_center_data[[#This Row],[date]],"DDD")</f>
        <v>Tue</v>
      </c>
      <c r="I62" s="5">
        <v>1</v>
      </c>
      <c r="J62" s="5" t="str">
        <f>_xlfn.XLOOKUP(call_center_data[[#This Row],[product_id]],Table2[Product_ID],Table2[Product_Name])</f>
        <v>Personal Loan</v>
      </c>
      <c r="K62" s="5">
        <v>19</v>
      </c>
      <c r="L62" s="7">
        <v>1718</v>
      </c>
      <c r="M62" s="8">
        <f>call_center_data[[#This Row],[avg_ht]]/86400</f>
        <v>1.9884259259259258E-2</v>
      </c>
      <c r="N62" s="5">
        <v>78</v>
      </c>
      <c r="O62" s="5">
        <v>6</v>
      </c>
      <c r="Q62" t="s">
        <v>60</v>
      </c>
      <c r="R62">
        <v>162697</v>
      </c>
    </row>
    <row r="63" spans="2:18" ht="15.75" thickBot="1" x14ac:dyDescent="0.3">
      <c r="B63" s="5">
        <v>3</v>
      </c>
      <c r="C63" s="5" t="str">
        <f>_xlfn.XLOOKUP(call_center_data[[#This Row],[agent_id]],Table1[Agent ID],Table1[Full Name])</f>
        <v>Cecille Chen</v>
      </c>
      <c r="D63" s="5" t="str">
        <f>_xlfn.XLOOKUP(call_center_data[[#This Row],[agent_id]],Table1[Agent ID],Table1[Supervisor])</f>
        <v>Lester De Mesa</v>
      </c>
      <c r="E63" s="6">
        <f>_xlfn.XLOOKUP(call_center_data[[#This Row],[agent_id]],Table1[Agent ID],Table1[Hire Date])</f>
        <v>43727</v>
      </c>
      <c r="F63" s="7">
        <f>DATEDIF(call_center_data[[#This Row],[Hire Date]],$Q$6,"M")</f>
        <v>21</v>
      </c>
      <c r="G63" s="6">
        <v>44351</v>
      </c>
      <c r="H63" s="6" t="str">
        <f>TEXT(call_center_data[[#This Row],[date]],"DDD")</f>
        <v>Fri</v>
      </c>
      <c r="I63" s="5">
        <v>3</v>
      </c>
      <c r="J63" s="5" t="str">
        <f>_xlfn.XLOOKUP(call_center_data[[#This Row],[product_id]],Table2[Product_ID],Table2[Product_Name])</f>
        <v>Property Loan</v>
      </c>
      <c r="K63" s="5">
        <v>23</v>
      </c>
      <c r="L63" s="7">
        <v>807</v>
      </c>
      <c r="M63" s="8">
        <f>call_center_data[[#This Row],[avg_ht]]/86400</f>
        <v>9.3402777777777772E-3</v>
      </c>
      <c r="N63" s="5">
        <v>74</v>
      </c>
      <c r="O63" s="5">
        <v>6</v>
      </c>
      <c r="Q63" s="3" t="s">
        <v>61</v>
      </c>
      <c r="R63" s="3">
        <v>251</v>
      </c>
    </row>
    <row r="64" spans="2:18" x14ac:dyDescent="0.25">
      <c r="B64" s="5">
        <v>3</v>
      </c>
      <c r="C64" s="5" t="str">
        <f>_xlfn.XLOOKUP(call_center_data[[#This Row],[agent_id]],Table1[Agent ID],Table1[Full Name])</f>
        <v>Cecille Chen</v>
      </c>
      <c r="D64" s="5" t="str">
        <f>_xlfn.XLOOKUP(call_center_data[[#This Row],[agent_id]],Table1[Agent ID],Table1[Supervisor])</f>
        <v>Lester De Mesa</v>
      </c>
      <c r="E64" s="6">
        <f>_xlfn.XLOOKUP(call_center_data[[#This Row],[agent_id]],Table1[Agent ID],Table1[Hire Date])</f>
        <v>43727</v>
      </c>
      <c r="F64" s="7">
        <f>DATEDIF(call_center_data[[#This Row],[Hire Date]],$Q$6,"M")</f>
        <v>21</v>
      </c>
      <c r="G64" s="6">
        <v>44373</v>
      </c>
      <c r="H64" s="6" t="str">
        <f>TEXT(call_center_data[[#This Row],[date]],"DDD")</f>
        <v>Sat</v>
      </c>
      <c r="I64" s="5">
        <v>1</v>
      </c>
      <c r="J64" s="5" t="str">
        <f>_xlfn.XLOOKUP(call_center_data[[#This Row],[product_id]],Table2[Product_ID],Table2[Product_Name])</f>
        <v>Personal Loan</v>
      </c>
      <c r="K64" s="5">
        <v>24</v>
      </c>
      <c r="L64" s="7">
        <v>1921</v>
      </c>
      <c r="M64" s="8">
        <f>call_center_data[[#This Row],[avg_ht]]/86400</f>
        <v>2.2233796296296297E-2</v>
      </c>
      <c r="N64" s="5">
        <v>84</v>
      </c>
      <c r="O64" s="5">
        <v>6</v>
      </c>
    </row>
    <row r="65" spans="2:18" x14ac:dyDescent="0.25">
      <c r="B65" s="5">
        <v>8</v>
      </c>
      <c r="C65" s="5" t="str">
        <f>_xlfn.XLOOKUP(call_center_data[[#This Row],[agent_id]],Table1[Agent ID],Table1[Full Name])</f>
        <v>Rachel Delos Santos</v>
      </c>
      <c r="D65" s="5" t="str">
        <f>_xlfn.XLOOKUP(call_center_data[[#This Row],[agent_id]],Table1[Agent ID],Table1[Supervisor])</f>
        <v>Carol Mario</v>
      </c>
      <c r="E65" s="6">
        <f>_xlfn.XLOOKUP(call_center_data[[#This Row],[agent_id]],Table1[Agent ID],Table1[Hire Date])</f>
        <v>44212</v>
      </c>
      <c r="F65" s="7">
        <f>DATEDIF(call_center_data[[#This Row],[Hire Date]],$Q$6,"M")</f>
        <v>5</v>
      </c>
      <c r="G65" s="6">
        <v>44352</v>
      </c>
      <c r="H65" s="6" t="str">
        <f>TEXT(call_center_data[[#This Row],[date]],"DDD")</f>
        <v>Sat</v>
      </c>
      <c r="I65" s="5">
        <v>3</v>
      </c>
      <c r="J65" s="5" t="str">
        <f>_xlfn.XLOOKUP(call_center_data[[#This Row],[product_id]],Table2[Product_ID],Table2[Product_Name])</f>
        <v>Property Loan</v>
      </c>
      <c r="K65" s="5">
        <v>25</v>
      </c>
      <c r="L65" s="7">
        <v>441</v>
      </c>
      <c r="M65" s="8">
        <f>call_center_data[[#This Row],[avg_ht]]/86400</f>
        <v>5.1041666666666666E-3</v>
      </c>
      <c r="N65" s="5">
        <v>53</v>
      </c>
      <c r="O65" s="5">
        <v>7</v>
      </c>
    </row>
    <row r="66" spans="2:18" x14ac:dyDescent="0.25">
      <c r="B66" s="5">
        <v>2</v>
      </c>
      <c r="C66" s="5" t="str">
        <f>_xlfn.XLOOKUP(call_center_data[[#This Row],[agent_id]],Table1[Agent ID],Table1[Full Name])</f>
        <v>Josh Vega</v>
      </c>
      <c r="D66" s="5" t="str">
        <f>_xlfn.XLOOKUP(call_center_data[[#This Row],[agent_id]],Table1[Agent ID],Table1[Supervisor])</f>
        <v>Carol Mario</v>
      </c>
      <c r="E66" s="6">
        <f>_xlfn.XLOOKUP(call_center_data[[#This Row],[agent_id]],Table1[Agent ID],Table1[Hire Date])</f>
        <v>43687</v>
      </c>
      <c r="F66" s="7">
        <f>DATEDIF(call_center_data[[#This Row],[Hire Date]],$Q$6,"M")</f>
        <v>22</v>
      </c>
      <c r="G66" s="6">
        <v>44374</v>
      </c>
      <c r="H66" s="6" t="str">
        <f>TEXT(call_center_data[[#This Row],[date]],"DDD")</f>
        <v>Sun</v>
      </c>
      <c r="I66" s="5">
        <v>1</v>
      </c>
      <c r="J66" s="5" t="str">
        <f>_xlfn.XLOOKUP(call_center_data[[#This Row],[product_id]],Table2[Product_ID],Table2[Product_Name])</f>
        <v>Personal Loan</v>
      </c>
      <c r="K66" s="5">
        <v>3</v>
      </c>
      <c r="L66" s="7">
        <v>219</v>
      </c>
      <c r="M66" s="8">
        <f>call_center_data[[#This Row],[avg_ht]]/86400</f>
        <v>2.5347222222222221E-3</v>
      </c>
      <c r="N66" s="5">
        <v>45</v>
      </c>
      <c r="O66" s="5">
        <v>8</v>
      </c>
    </row>
    <row r="67" spans="2:18" ht="15.75" thickBot="1" x14ac:dyDescent="0.3">
      <c r="B67" s="5">
        <v>6</v>
      </c>
      <c r="C67" s="5" t="str">
        <f>_xlfn.XLOOKUP(call_center_data[[#This Row],[agent_id]],Table1[Agent ID],Table1[Full Name])</f>
        <v>Jane Hernandez</v>
      </c>
      <c r="D67" s="5" t="str">
        <f>_xlfn.XLOOKUP(call_center_data[[#This Row],[agent_id]],Table1[Agent ID],Table1[Supervisor])</f>
        <v>Lester De Mesa</v>
      </c>
      <c r="E67" s="6">
        <f>_xlfn.XLOOKUP(call_center_data[[#This Row],[agent_id]],Table1[Agent ID],Table1[Hire Date])</f>
        <v>44116</v>
      </c>
      <c r="F67" s="7">
        <f>DATEDIF(call_center_data[[#This Row],[Hire Date]],$Q$6,"M")</f>
        <v>8</v>
      </c>
      <c r="G67" s="6">
        <v>44354</v>
      </c>
      <c r="H67" s="6" t="str">
        <f>TEXT(call_center_data[[#This Row],[date]],"DDD")</f>
        <v>Mon</v>
      </c>
      <c r="I67" s="5">
        <v>3</v>
      </c>
      <c r="J67" s="5" t="str">
        <f>_xlfn.XLOOKUP(call_center_data[[#This Row],[product_id]],Table2[Product_ID],Table2[Product_Name])</f>
        <v>Property Loan</v>
      </c>
      <c r="K67" s="5">
        <v>20</v>
      </c>
      <c r="L67" s="7">
        <v>142</v>
      </c>
      <c r="M67" s="8">
        <f>call_center_data[[#This Row],[avg_ht]]/86400</f>
        <v>1.6435185185185185E-3</v>
      </c>
      <c r="N67" s="5">
        <v>89</v>
      </c>
      <c r="O67" s="5">
        <v>6</v>
      </c>
      <c r="Q67" s="40" t="s">
        <v>62</v>
      </c>
      <c r="R67" s="40"/>
    </row>
    <row r="68" spans="2:18" x14ac:dyDescent="0.25">
      <c r="B68" s="5">
        <v>6</v>
      </c>
      <c r="C68" s="5" t="str">
        <f>_xlfn.XLOOKUP(call_center_data[[#This Row],[agent_id]],Table1[Agent ID],Table1[Full Name])</f>
        <v>Jane Hernandez</v>
      </c>
      <c r="D68" s="5" t="str">
        <f>_xlfn.XLOOKUP(call_center_data[[#This Row],[agent_id]],Table1[Agent ID],Table1[Supervisor])</f>
        <v>Lester De Mesa</v>
      </c>
      <c r="E68" s="6">
        <f>_xlfn.XLOOKUP(call_center_data[[#This Row],[agent_id]],Table1[Agent ID],Table1[Hire Date])</f>
        <v>44116</v>
      </c>
      <c r="F68" s="7">
        <f>DATEDIF(call_center_data[[#This Row],[Hire Date]],$Q$6,"M")</f>
        <v>8</v>
      </c>
      <c r="G68" s="6">
        <v>44349</v>
      </c>
      <c r="H68" s="6" t="str">
        <f>TEXT(call_center_data[[#This Row],[date]],"DDD")</f>
        <v>Wed</v>
      </c>
      <c r="I68" s="5">
        <v>1</v>
      </c>
      <c r="J68" s="5" t="str">
        <f>_xlfn.XLOOKUP(call_center_data[[#This Row],[product_id]],Table2[Product_ID],Table2[Product_Name])</f>
        <v>Personal Loan</v>
      </c>
      <c r="K68" s="5">
        <v>18</v>
      </c>
      <c r="L68" s="7">
        <v>747</v>
      </c>
      <c r="M68" s="8">
        <f>call_center_data[[#This Row],[avg_ht]]/86400</f>
        <v>8.6458333333333335E-3</v>
      </c>
      <c r="N68" s="5">
        <v>13</v>
      </c>
      <c r="O68" s="5">
        <v>10</v>
      </c>
      <c r="Q68" s="16" t="s">
        <v>4</v>
      </c>
      <c r="R68" s="16"/>
    </row>
    <row r="69" spans="2:18" x14ac:dyDescent="0.25">
      <c r="B69" s="5">
        <v>8</v>
      </c>
      <c r="C69" s="5" t="str">
        <f>_xlfn.XLOOKUP(call_center_data[[#This Row],[agent_id]],Table1[Agent ID],Table1[Full Name])</f>
        <v>Rachel Delos Santos</v>
      </c>
      <c r="D69" s="5" t="str">
        <f>_xlfn.XLOOKUP(call_center_data[[#This Row],[agent_id]],Table1[Agent ID],Table1[Supervisor])</f>
        <v>Carol Mario</v>
      </c>
      <c r="E69" s="6">
        <f>_xlfn.XLOOKUP(call_center_data[[#This Row],[agent_id]],Table1[Agent ID],Table1[Hire Date])</f>
        <v>44212</v>
      </c>
      <c r="F69" s="7">
        <f>DATEDIF(call_center_data[[#This Row],[Hire Date]],$Q$6,"M")</f>
        <v>5</v>
      </c>
      <c r="G69" s="6">
        <v>44356</v>
      </c>
      <c r="H69" s="6" t="str">
        <f>TEXT(call_center_data[[#This Row],[date]],"DDD")</f>
        <v>Wed</v>
      </c>
      <c r="I69" s="5">
        <v>1</v>
      </c>
      <c r="J69" s="5" t="str">
        <f>_xlfn.XLOOKUP(call_center_data[[#This Row],[product_id]],Table2[Product_ID],Table2[Product_Name])</f>
        <v>Personal Loan</v>
      </c>
      <c r="K69" s="5">
        <v>24</v>
      </c>
      <c r="L69" s="7">
        <v>1365</v>
      </c>
      <c r="M69" s="8">
        <f>call_center_data[[#This Row],[avg_ht]]/86400</f>
        <v>1.579861111111111E-2</v>
      </c>
      <c r="N69" s="5">
        <v>23</v>
      </c>
      <c r="O69" s="5">
        <v>9</v>
      </c>
    </row>
    <row r="70" spans="2:18" x14ac:dyDescent="0.25">
      <c r="B70" s="5">
        <v>8</v>
      </c>
      <c r="C70" s="5" t="str">
        <f>_xlfn.XLOOKUP(call_center_data[[#This Row],[agent_id]],Table1[Agent ID],Table1[Full Name])</f>
        <v>Rachel Delos Santos</v>
      </c>
      <c r="D70" s="5" t="str">
        <f>_xlfn.XLOOKUP(call_center_data[[#This Row],[agent_id]],Table1[Agent ID],Table1[Supervisor])</f>
        <v>Carol Mario</v>
      </c>
      <c r="E70" s="6">
        <f>_xlfn.XLOOKUP(call_center_data[[#This Row],[agent_id]],Table1[Agent ID],Table1[Hire Date])</f>
        <v>44212</v>
      </c>
      <c r="F70" s="7">
        <f>DATEDIF(call_center_data[[#This Row],[Hire Date]],$Q$6,"M")</f>
        <v>5</v>
      </c>
      <c r="G70" s="6">
        <v>44350</v>
      </c>
      <c r="H70" s="6" t="str">
        <f>TEXT(call_center_data[[#This Row],[date]],"DDD")</f>
        <v>Thu</v>
      </c>
      <c r="I70" s="5">
        <v>1</v>
      </c>
      <c r="J70" s="5" t="str">
        <f>_xlfn.XLOOKUP(call_center_data[[#This Row],[product_id]],Table2[Product_ID],Table2[Product_Name])</f>
        <v>Personal Loan</v>
      </c>
      <c r="K70" s="5">
        <v>25</v>
      </c>
      <c r="L70" s="7">
        <v>842</v>
      </c>
      <c r="M70" s="8">
        <f>call_center_data[[#This Row],[avg_ht]]/86400</f>
        <v>9.7453703703703695E-3</v>
      </c>
      <c r="N70" s="5">
        <v>66</v>
      </c>
      <c r="O70" s="5">
        <v>6</v>
      </c>
      <c r="Q70" t="s">
        <v>49</v>
      </c>
      <c r="R70">
        <v>50.788844621513945</v>
      </c>
    </row>
    <row r="71" spans="2:18" x14ac:dyDescent="0.25">
      <c r="B71" s="5">
        <v>6</v>
      </c>
      <c r="C71" s="5" t="str">
        <f>_xlfn.XLOOKUP(call_center_data[[#This Row],[agent_id]],Table1[Agent ID],Table1[Full Name])</f>
        <v>Jane Hernandez</v>
      </c>
      <c r="D71" s="5" t="str">
        <f>_xlfn.XLOOKUP(call_center_data[[#This Row],[agent_id]],Table1[Agent ID],Table1[Supervisor])</f>
        <v>Lester De Mesa</v>
      </c>
      <c r="E71" s="6">
        <f>_xlfn.XLOOKUP(call_center_data[[#This Row],[agent_id]],Table1[Agent ID],Table1[Hire Date])</f>
        <v>44116</v>
      </c>
      <c r="F71" s="7">
        <f>DATEDIF(call_center_data[[#This Row],[Hire Date]],$Q$6,"M")</f>
        <v>8</v>
      </c>
      <c r="G71" s="6">
        <v>44352</v>
      </c>
      <c r="H71" s="6" t="str">
        <f>TEXT(call_center_data[[#This Row],[date]],"DDD")</f>
        <v>Sat</v>
      </c>
      <c r="I71" s="5">
        <v>1</v>
      </c>
      <c r="J71" s="5" t="str">
        <f>_xlfn.XLOOKUP(call_center_data[[#This Row],[product_id]],Table2[Product_ID],Table2[Product_Name])</f>
        <v>Personal Loan</v>
      </c>
      <c r="K71" s="5">
        <v>20</v>
      </c>
      <c r="L71" s="7">
        <v>1122</v>
      </c>
      <c r="M71" s="8">
        <f>call_center_data[[#This Row],[avg_ht]]/86400</f>
        <v>1.2986111111111111E-2</v>
      </c>
      <c r="N71" s="5">
        <v>88</v>
      </c>
      <c r="O71" s="5">
        <v>5</v>
      </c>
      <c r="Q71" t="s">
        <v>50</v>
      </c>
      <c r="R71">
        <v>1.4747803335109271</v>
      </c>
    </row>
    <row r="72" spans="2:18" x14ac:dyDescent="0.25">
      <c r="B72" s="5">
        <v>10</v>
      </c>
      <c r="C72" s="5" t="str">
        <f>_xlfn.XLOOKUP(call_center_data[[#This Row],[agent_id]],Table1[Agent ID],Table1[Full Name])</f>
        <v>Mark Ventura</v>
      </c>
      <c r="D72" s="5" t="str">
        <f>_xlfn.XLOOKUP(call_center_data[[#This Row],[agent_id]],Table1[Agent ID],Table1[Supervisor])</f>
        <v>Lester De Mesa</v>
      </c>
      <c r="E72" s="6">
        <f>_xlfn.XLOOKUP(call_center_data[[#This Row],[agent_id]],Table1[Agent ID],Table1[Hire Date])</f>
        <v>44238</v>
      </c>
      <c r="F72" s="7">
        <f>DATEDIF(call_center_data[[#This Row],[Hire Date]],$Q$6,"M")</f>
        <v>4</v>
      </c>
      <c r="G72" s="6">
        <v>44353</v>
      </c>
      <c r="H72" s="6" t="str">
        <f>TEXT(call_center_data[[#This Row],[date]],"DDD")</f>
        <v>Sun</v>
      </c>
      <c r="I72" s="5">
        <v>3</v>
      </c>
      <c r="J72" s="5" t="str">
        <f>_xlfn.XLOOKUP(call_center_data[[#This Row],[product_id]],Table2[Product_ID],Table2[Product_Name])</f>
        <v>Property Loan</v>
      </c>
      <c r="K72" s="5">
        <v>36</v>
      </c>
      <c r="L72" s="7">
        <v>426</v>
      </c>
      <c r="M72" s="8">
        <f>call_center_data[[#This Row],[avg_ht]]/86400</f>
        <v>4.9305555555555552E-3</v>
      </c>
      <c r="N72" s="5">
        <v>71</v>
      </c>
      <c r="O72" s="5">
        <v>6</v>
      </c>
      <c r="Q72" t="s">
        <v>51</v>
      </c>
      <c r="R72">
        <v>53</v>
      </c>
    </row>
    <row r="73" spans="2:18" x14ac:dyDescent="0.25">
      <c r="B73" s="5">
        <v>1</v>
      </c>
      <c r="C73" s="5" t="str">
        <f>_xlfn.XLOOKUP(call_center_data[[#This Row],[agent_id]],Table1[Agent ID],Table1[Full Name])</f>
        <v>Lisa Diaz</v>
      </c>
      <c r="D73" s="5" t="str">
        <f>_xlfn.XLOOKUP(call_center_data[[#This Row],[agent_id]],Table1[Agent ID],Table1[Supervisor])</f>
        <v>Carol Mario</v>
      </c>
      <c r="E73" s="6">
        <f>_xlfn.XLOOKUP(call_center_data[[#This Row],[agent_id]],Table1[Agent ID],Table1[Hire Date])</f>
        <v>43625</v>
      </c>
      <c r="F73" s="7">
        <f>DATEDIF(call_center_data[[#This Row],[Hire Date]],$Q$6,"M")</f>
        <v>24</v>
      </c>
      <c r="G73" s="6">
        <v>44356</v>
      </c>
      <c r="H73" s="6" t="str">
        <f>TEXT(call_center_data[[#This Row],[date]],"DDD")</f>
        <v>Wed</v>
      </c>
      <c r="I73" s="5">
        <v>3</v>
      </c>
      <c r="J73" s="5" t="str">
        <f>_xlfn.XLOOKUP(call_center_data[[#This Row],[product_id]],Table2[Product_ID],Table2[Product_Name])</f>
        <v>Property Loan</v>
      </c>
      <c r="K73" s="5">
        <v>10</v>
      </c>
      <c r="L73" s="7">
        <v>874</v>
      </c>
      <c r="M73" s="8">
        <f>call_center_data[[#This Row],[avg_ht]]/86400</f>
        <v>1.0115740740740741E-2</v>
      </c>
      <c r="N73" s="5">
        <v>42</v>
      </c>
      <c r="O73" s="5">
        <v>9</v>
      </c>
      <c r="Q73" t="s">
        <v>52</v>
      </c>
      <c r="R73">
        <v>30</v>
      </c>
    </row>
    <row r="74" spans="2:18" x14ac:dyDescent="0.25">
      <c r="B74" s="5">
        <v>4</v>
      </c>
      <c r="C74" s="5" t="str">
        <f>_xlfn.XLOOKUP(call_center_data[[#This Row],[agent_id]],Table1[Agent ID],Table1[Full Name])</f>
        <v>Jay Alvarez</v>
      </c>
      <c r="D74" s="5" t="str">
        <f>_xlfn.XLOOKUP(call_center_data[[#This Row],[agent_id]],Table1[Agent ID],Table1[Supervisor])</f>
        <v>Carol Mario</v>
      </c>
      <c r="E74" s="6">
        <f>_xlfn.XLOOKUP(call_center_data[[#This Row],[agent_id]],Table1[Agent ID],Table1[Hire Date])</f>
        <v>43871</v>
      </c>
      <c r="F74" s="7">
        <f>DATEDIF(call_center_data[[#This Row],[Hire Date]],$Q$6,"M")</f>
        <v>16</v>
      </c>
      <c r="G74" s="6">
        <v>44365</v>
      </c>
      <c r="H74" s="6" t="str">
        <f>TEXT(call_center_data[[#This Row],[date]],"DDD")</f>
        <v>Fri</v>
      </c>
      <c r="I74" s="5">
        <v>3</v>
      </c>
      <c r="J74" s="5" t="str">
        <f>_xlfn.XLOOKUP(call_center_data[[#This Row],[product_id]],Table2[Product_ID],Table2[Product_Name])</f>
        <v>Property Loan</v>
      </c>
      <c r="K74" s="5">
        <v>26</v>
      </c>
      <c r="L74" s="7">
        <v>199</v>
      </c>
      <c r="M74" s="8">
        <f>call_center_data[[#This Row],[avg_ht]]/86400</f>
        <v>2.3032407407407407E-3</v>
      </c>
      <c r="N74" s="5">
        <v>83</v>
      </c>
      <c r="O74" s="5">
        <v>6</v>
      </c>
      <c r="Q74" t="s">
        <v>53</v>
      </c>
      <c r="R74">
        <v>23.364914617001297</v>
      </c>
    </row>
    <row r="75" spans="2:18" x14ac:dyDescent="0.25">
      <c r="B75" s="5">
        <v>3</v>
      </c>
      <c r="C75" s="5" t="str">
        <f>_xlfn.XLOOKUP(call_center_data[[#This Row],[agent_id]],Table1[Agent ID],Table1[Full Name])</f>
        <v>Cecille Chen</v>
      </c>
      <c r="D75" s="5" t="str">
        <f>_xlfn.XLOOKUP(call_center_data[[#This Row],[agent_id]],Table1[Agent ID],Table1[Supervisor])</f>
        <v>Lester De Mesa</v>
      </c>
      <c r="E75" s="6">
        <f>_xlfn.XLOOKUP(call_center_data[[#This Row],[agent_id]],Table1[Agent ID],Table1[Hire Date])</f>
        <v>43727</v>
      </c>
      <c r="F75" s="7">
        <f>DATEDIF(call_center_data[[#This Row],[Hire Date]],$Q$6,"M")</f>
        <v>21</v>
      </c>
      <c r="G75" s="6">
        <v>44365</v>
      </c>
      <c r="H75" s="6" t="str">
        <f>TEXT(call_center_data[[#This Row],[date]],"DDD")</f>
        <v>Fri</v>
      </c>
      <c r="I75" s="5">
        <v>2</v>
      </c>
      <c r="J75" s="5" t="str">
        <f>_xlfn.XLOOKUP(call_center_data[[#This Row],[product_id]],Table2[Product_ID],Table2[Product_Name])</f>
        <v>Car Loan</v>
      </c>
      <c r="K75" s="5">
        <v>20</v>
      </c>
      <c r="L75" s="7">
        <v>792</v>
      </c>
      <c r="M75" s="8">
        <f>call_center_data[[#This Row],[avg_ht]]/86400</f>
        <v>9.1666666666666667E-3</v>
      </c>
      <c r="N75" s="5">
        <v>59</v>
      </c>
      <c r="O75" s="5">
        <v>7</v>
      </c>
      <c r="Q75" t="s">
        <v>54</v>
      </c>
      <c r="R75">
        <v>545.91923505976092</v>
      </c>
    </row>
    <row r="76" spans="2:18" x14ac:dyDescent="0.25">
      <c r="B76" s="5">
        <v>7</v>
      </c>
      <c r="C76" s="5" t="str">
        <f>_xlfn.XLOOKUP(call_center_data[[#This Row],[agent_id]],Table1[Agent ID],Table1[Full Name])</f>
        <v>Peter Rivera</v>
      </c>
      <c r="D76" s="5" t="str">
        <f>_xlfn.XLOOKUP(call_center_data[[#This Row],[agent_id]],Table1[Agent ID],Table1[Supervisor])</f>
        <v>Carol Mario</v>
      </c>
      <c r="E76" s="6">
        <f>_xlfn.XLOOKUP(call_center_data[[#This Row],[agent_id]],Table1[Agent ID],Table1[Hire Date])</f>
        <v>44170</v>
      </c>
      <c r="F76" s="7">
        <f>DATEDIF(call_center_data[[#This Row],[Hire Date]],$Q$6,"M")</f>
        <v>6</v>
      </c>
      <c r="G76" s="6">
        <v>44368</v>
      </c>
      <c r="H76" s="6" t="str">
        <f>TEXT(call_center_data[[#This Row],[date]],"DDD")</f>
        <v>Mon</v>
      </c>
      <c r="I76" s="5">
        <v>3</v>
      </c>
      <c r="J76" s="5" t="str">
        <f>_xlfn.XLOOKUP(call_center_data[[#This Row],[product_id]],Table2[Product_ID],Table2[Product_Name])</f>
        <v>Property Loan</v>
      </c>
      <c r="K76" s="5">
        <v>29</v>
      </c>
      <c r="L76" s="7">
        <v>102</v>
      </c>
      <c r="M76" s="8">
        <f>call_center_data[[#This Row],[avg_ht]]/86400</f>
        <v>1.1805555555555556E-3</v>
      </c>
      <c r="N76" s="5">
        <v>30</v>
      </c>
      <c r="O76" s="5">
        <v>8</v>
      </c>
      <c r="Q76" t="s">
        <v>55</v>
      </c>
      <c r="R76">
        <v>-1.1958311506195625</v>
      </c>
    </row>
    <row r="77" spans="2:18" x14ac:dyDescent="0.25">
      <c r="B77" s="5">
        <v>5</v>
      </c>
      <c r="C77" s="5" t="str">
        <f>_xlfn.XLOOKUP(call_center_data[[#This Row],[agent_id]],Table1[Agent ID],Table1[Full Name])</f>
        <v>Eric Molina</v>
      </c>
      <c r="D77" s="5" t="str">
        <f>_xlfn.XLOOKUP(call_center_data[[#This Row],[agent_id]],Table1[Agent ID],Table1[Supervisor])</f>
        <v>Lester De Mesa</v>
      </c>
      <c r="E77" s="6">
        <f>_xlfn.XLOOKUP(call_center_data[[#This Row],[agent_id]],Table1[Agent ID],Table1[Hire Date])</f>
        <v>43966</v>
      </c>
      <c r="F77" s="7">
        <f>DATEDIF(call_center_data[[#This Row],[Hire Date]],$Q$6,"M")</f>
        <v>13</v>
      </c>
      <c r="G77" s="6">
        <v>44363</v>
      </c>
      <c r="H77" s="6" t="str">
        <f>TEXT(call_center_data[[#This Row],[date]],"DDD")</f>
        <v>Wed</v>
      </c>
      <c r="I77" s="5">
        <v>2</v>
      </c>
      <c r="J77" s="5" t="str">
        <f>_xlfn.XLOOKUP(call_center_data[[#This Row],[product_id]],Table2[Product_ID],Table2[Product_Name])</f>
        <v>Car Loan</v>
      </c>
      <c r="K77" s="5">
        <v>21</v>
      </c>
      <c r="L77" s="7">
        <v>279</v>
      </c>
      <c r="M77" s="8">
        <f>call_center_data[[#This Row],[avg_ht]]/86400</f>
        <v>3.2291666666666666E-3</v>
      </c>
      <c r="N77" s="5">
        <v>23</v>
      </c>
      <c r="O77" s="5">
        <v>9</v>
      </c>
      <c r="Q77" t="s">
        <v>56</v>
      </c>
      <c r="R77">
        <v>7.788087611483499E-2</v>
      </c>
    </row>
    <row r="78" spans="2:18" x14ac:dyDescent="0.25">
      <c r="B78" s="5">
        <v>8</v>
      </c>
      <c r="C78" s="5" t="str">
        <f>_xlfn.XLOOKUP(call_center_data[[#This Row],[agent_id]],Table1[Agent ID],Table1[Full Name])</f>
        <v>Rachel Delos Santos</v>
      </c>
      <c r="D78" s="5" t="str">
        <f>_xlfn.XLOOKUP(call_center_data[[#This Row],[agent_id]],Table1[Agent ID],Table1[Supervisor])</f>
        <v>Carol Mario</v>
      </c>
      <c r="E78" s="6">
        <f>_xlfn.XLOOKUP(call_center_data[[#This Row],[agent_id]],Table1[Agent ID],Table1[Hire Date])</f>
        <v>44212</v>
      </c>
      <c r="F78" s="7">
        <f>DATEDIF(call_center_data[[#This Row],[Hire Date]],$Q$6,"M")</f>
        <v>5</v>
      </c>
      <c r="G78" s="6">
        <v>44367</v>
      </c>
      <c r="H78" s="6" t="str">
        <f>TEXT(call_center_data[[#This Row],[date]],"DDD")</f>
        <v>Sun</v>
      </c>
      <c r="I78" s="5">
        <v>3</v>
      </c>
      <c r="J78" s="5" t="str">
        <f>_xlfn.XLOOKUP(call_center_data[[#This Row],[product_id]],Table2[Product_ID],Table2[Product_Name])</f>
        <v>Property Loan</v>
      </c>
      <c r="K78" s="5">
        <v>29</v>
      </c>
      <c r="L78" s="7">
        <v>378</v>
      </c>
      <c r="M78" s="8">
        <f>call_center_data[[#This Row],[avg_ht]]/86400</f>
        <v>4.3750000000000004E-3</v>
      </c>
      <c r="N78" s="5">
        <v>86</v>
      </c>
      <c r="O78" s="5">
        <v>6</v>
      </c>
      <c r="Q78" t="s">
        <v>57</v>
      </c>
      <c r="R78">
        <v>87</v>
      </c>
    </row>
    <row r="79" spans="2:18" x14ac:dyDescent="0.25">
      <c r="B79" s="5">
        <v>6</v>
      </c>
      <c r="C79" s="5" t="str">
        <f>_xlfn.XLOOKUP(call_center_data[[#This Row],[agent_id]],Table1[Agent ID],Table1[Full Name])</f>
        <v>Jane Hernandez</v>
      </c>
      <c r="D79" s="5" t="str">
        <f>_xlfn.XLOOKUP(call_center_data[[#This Row],[agent_id]],Table1[Agent ID],Table1[Supervisor])</f>
        <v>Lester De Mesa</v>
      </c>
      <c r="E79" s="6">
        <f>_xlfn.XLOOKUP(call_center_data[[#This Row],[agent_id]],Table1[Agent ID],Table1[Hire Date])</f>
        <v>44116</v>
      </c>
      <c r="F79" s="7">
        <f>DATEDIF(call_center_data[[#This Row],[Hire Date]],$Q$6,"M")</f>
        <v>8</v>
      </c>
      <c r="G79" s="6">
        <v>44369</v>
      </c>
      <c r="H79" s="6" t="str">
        <f>TEXT(call_center_data[[#This Row],[date]],"DDD")</f>
        <v>Tue</v>
      </c>
      <c r="I79" s="5">
        <v>3</v>
      </c>
      <c r="J79" s="5" t="str">
        <f>_xlfn.XLOOKUP(call_center_data[[#This Row],[product_id]],Table2[Product_ID],Table2[Product_Name])</f>
        <v>Property Loan</v>
      </c>
      <c r="K79" s="5">
        <v>22</v>
      </c>
      <c r="L79" s="7">
        <v>205</v>
      </c>
      <c r="M79" s="8">
        <f>call_center_data[[#This Row],[avg_ht]]/86400</f>
        <v>2.3726851851851851E-3</v>
      </c>
      <c r="N79" s="5">
        <v>79</v>
      </c>
      <c r="O79" s="5">
        <v>6</v>
      </c>
      <c r="Q79" t="s">
        <v>58</v>
      </c>
      <c r="R79">
        <v>10</v>
      </c>
    </row>
    <row r="80" spans="2:18" x14ac:dyDescent="0.25">
      <c r="B80" s="5">
        <v>1</v>
      </c>
      <c r="C80" s="5" t="str">
        <f>_xlfn.XLOOKUP(call_center_data[[#This Row],[agent_id]],Table1[Agent ID],Table1[Full Name])</f>
        <v>Lisa Diaz</v>
      </c>
      <c r="D80" s="5" t="str">
        <f>_xlfn.XLOOKUP(call_center_data[[#This Row],[agent_id]],Table1[Agent ID],Table1[Supervisor])</f>
        <v>Carol Mario</v>
      </c>
      <c r="E80" s="6">
        <f>_xlfn.XLOOKUP(call_center_data[[#This Row],[agent_id]],Table1[Agent ID],Table1[Hire Date])</f>
        <v>43625</v>
      </c>
      <c r="F80" s="7">
        <f>DATEDIF(call_center_data[[#This Row],[Hire Date]],$Q$6,"M")</f>
        <v>24</v>
      </c>
      <c r="G80" s="6">
        <v>44364</v>
      </c>
      <c r="H80" s="6" t="str">
        <f>TEXT(call_center_data[[#This Row],[date]],"DDD")</f>
        <v>Thu</v>
      </c>
      <c r="I80" s="5">
        <v>2</v>
      </c>
      <c r="J80" s="5" t="str">
        <f>_xlfn.XLOOKUP(call_center_data[[#This Row],[product_id]],Table2[Product_ID],Table2[Product_Name])</f>
        <v>Car Loan</v>
      </c>
      <c r="K80" s="5">
        <v>7</v>
      </c>
      <c r="L80" s="7">
        <v>115</v>
      </c>
      <c r="M80" s="8">
        <f>call_center_data[[#This Row],[avg_ht]]/86400</f>
        <v>1.3310185185185185E-3</v>
      </c>
      <c r="N80" s="5">
        <v>28</v>
      </c>
      <c r="O80" s="5">
        <v>8</v>
      </c>
      <c r="Q80" t="s">
        <v>59</v>
      </c>
      <c r="R80">
        <v>97</v>
      </c>
    </row>
    <row r="81" spans="2:18" x14ac:dyDescent="0.25">
      <c r="B81" s="5">
        <v>3</v>
      </c>
      <c r="C81" s="5" t="str">
        <f>_xlfn.XLOOKUP(call_center_data[[#This Row],[agent_id]],Table1[Agent ID],Table1[Full Name])</f>
        <v>Cecille Chen</v>
      </c>
      <c r="D81" s="5" t="str">
        <f>_xlfn.XLOOKUP(call_center_data[[#This Row],[agent_id]],Table1[Agent ID],Table1[Supervisor])</f>
        <v>Lester De Mesa</v>
      </c>
      <c r="E81" s="6">
        <f>_xlfn.XLOOKUP(call_center_data[[#This Row],[agent_id]],Table1[Agent ID],Table1[Hire Date])</f>
        <v>43727</v>
      </c>
      <c r="F81" s="7">
        <f>DATEDIF(call_center_data[[#This Row],[Hire Date]],$Q$6,"M")</f>
        <v>21</v>
      </c>
      <c r="G81" s="6">
        <v>44363</v>
      </c>
      <c r="H81" s="6" t="str">
        <f>TEXT(call_center_data[[#This Row],[date]],"DDD")</f>
        <v>Wed</v>
      </c>
      <c r="I81" s="5">
        <v>3</v>
      </c>
      <c r="J81" s="5" t="str">
        <f>_xlfn.XLOOKUP(call_center_data[[#This Row],[product_id]],Table2[Product_ID],Table2[Product_Name])</f>
        <v>Property Loan</v>
      </c>
      <c r="K81" s="5">
        <v>17</v>
      </c>
      <c r="L81" s="7">
        <v>321</v>
      </c>
      <c r="M81" s="8">
        <f>call_center_data[[#This Row],[avg_ht]]/86400</f>
        <v>3.7152777777777778E-3</v>
      </c>
      <c r="N81" s="5">
        <v>38</v>
      </c>
      <c r="O81" s="5">
        <v>9</v>
      </c>
      <c r="Q81" t="s">
        <v>60</v>
      </c>
      <c r="R81">
        <v>12748</v>
      </c>
    </row>
    <row r="82" spans="2:18" ht="15.75" thickBot="1" x14ac:dyDescent="0.3">
      <c r="B82" s="5">
        <v>5</v>
      </c>
      <c r="C82" s="5" t="str">
        <f>_xlfn.XLOOKUP(call_center_data[[#This Row],[agent_id]],Table1[Agent ID],Table1[Full Name])</f>
        <v>Eric Molina</v>
      </c>
      <c r="D82" s="5" t="str">
        <f>_xlfn.XLOOKUP(call_center_data[[#This Row],[agent_id]],Table1[Agent ID],Table1[Supervisor])</f>
        <v>Lester De Mesa</v>
      </c>
      <c r="E82" s="6">
        <f>_xlfn.XLOOKUP(call_center_data[[#This Row],[agent_id]],Table1[Agent ID],Table1[Hire Date])</f>
        <v>43966</v>
      </c>
      <c r="F82" s="7">
        <f>DATEDIF(call_center_data[[#This Row],[Hire Date]],$Q$6,"M")</f>
        <v>13</v>
      </c>
      <c r="G82" s="6">
        <v>44350</v>
      </c>
      <c r="H82" s="6" t="str">
        <f>TEXT(call_center_data[[#This Row],[date]],"DDD")</f>
        <v>Thu</v>
      </c>
      <c r="I82" s="5">
        <v>1</v>
      </c>
      <c r="J82" s="5" t="str">
        <f>_xlfn.XLOOKUP(call_center_data[[#This Row],[product_id]],Table2[Product_ID],Table2[Product_Name])</f>
        <v>Personal Loan</v>
      </c>
      <c r="K82" s="5">
        <v>18</v>
      </c>
      <c r="L82" s="7">
        <v>1473</v>
      </c>
      <c r="M82" s="8">
        <f>call_center_data[[#This Row],[avg_ht]]/86400</f>
        <v>1.7048611111111112E-2</v>
      </c>
      <c r="N82" s="5">
        <v>17</v>
      </c>
      <c r="O82" s="5">
        <v>9</v>
      </c>
      <c r="Q82" s="3" t="s">
        <v>61</v>
      </c>
      <c r="R82" s="3">
        <v>251</v>
      </c>
    </row>
    <row r="83" spans="2:18" x14ac:dyDescent="0.25">
      <c r="B83" s="5">
        <v>9</v>
      </c>
      <c r="C83" s="5" t="str">
        <f>_xlfn.XLOOKUP(call_center_data[[#This Row],[agent_id]],Table1[Agent ID],Table1[Full Name])</f>
        <v>Cherry Castillo</v>
      </c>
      <c r="D83" s="5" t="str">
        <f>_xlfn.XLOOKUP(call_center_data[[#This Row],[agent_id]],Table1[Agent ID],Table1[Supervisor])</f>
        <v>Lester De Mesa</v>
      </c>
      <c r="E83" s="6">
        <f>_xlfn.XLOOKUP(call_center_data[[#This Row],[agent_id]],Table1[Agent ID],Table1[Hire Date])</f>
        <v>44226</v>
      </c>
      <c r="F83" s="7">
        <f>DATEDIF(call_center_data[[#This Row],[Hire Date]],$Q$6,"M")</f>
        <v>5</v>
      </c>
      <c r="G83" s="6">
        <v>44360</v>
      </c>
      <c r="H83" s="6" t="str">
        <f>TEXT(call_center_data[[#This Row],[date]],"DDD")</f>
        <v>Sun</v>
      </c>
      <c r="I83" s="5">
        <v>3</v>
      </c>
      <c r="J83" s="5" t="str">
        <f>_xlfn.XLOOKUP(call_center_data[[#This Row],[product_id]],Table2[Product_ID],Table2[Product_Name])</f>
        <v>Property Loan</v>
      </c>
      <c r="K83" s="5">
        <v>38</v>
      </c>
      <c r="L83" s="7">
        <v>149</v>
      </c>
      <c r="M83" s="8">
        <f>call_center_data[[#This Row],[avg_ht]]/86400</f>
        <v>1.724537037037037E-3</v>
      </c>
      <c r="N83" s="5">
        <v>10</v>
      </c>
      <c r="O83" s="5">
        <v>10</v>
      </c>
    </row>
    <row r="84" spans="2:18" x14ac:dyDescent="0.25">
      <c r="B84" s="5">
        <v>2</v>
      </c>
      <c r="C84" s="5" t="str">
        <f>_xlfn.XLOOKUP(call_center_data[[#This Row],[agent_id]],Table1[Agent ID],Table1[Full Name])</f>
        <v>Josh Vega</v>
      </c>
      <c r="D84" s="5" t="str">
        <f>_xlfn.XLOOKUP(call_center_data[[#This Row],[agent_id]],Table1[Agent ID],Table1[Supervisor])</f>
        <v>Carol Mario</v>
      </c>
      <c r="E84" s="6">
        <f>_xlfn.XLOOKUP(call_center_data[[#This Row],[agent_id]],Table1[Agent ID],Table1[Hire Date])</f>
        <v>43687</v>
      </c>
      <c r="F84" s="7">
        <f>DATEDIF(call_center_data[[#This Row],[Hire Date]],$Q$6,"M")</f>
        <v>22</v>
      </c>
      <c r="G84" s="6">
        <v>44372</v>
      </c>
      <c r="H84" s="6" t="str">
        <f>TEXT(call_center_data[[#This Row],[date]],"DDD")</f>
        <v>Fri</v>
      </c>
      <c r="I84" s="5">
        <v>2</v>
      </c>
      <c r="J84" s="5" t="str">
        <f>_xlfn.XLOOKUP(call_center_data[[#This Row],[product_id]],Table2[Product_ID],Table2[Product_Name])</f>
        <v>Car Loan</v>
      </c>
      <c r="K84" s="5">
        <v>21</v>
      </c>
      <c r="L84" s="7">
        <v>180</v>
      </c>
      <c r="M84" s="8">
        <f>call_center_data[[#This Row],[avg_ht]]/86400</f>
        <v>2.0833333333333333E-3</v>
      </c>
      <c r="N84" s="5">
        <v>45</v>
      </c>
      <c r="O84" s="5">
        <v>8</v>
      </c>
    </row>
    <row r="85" spans="2:18" x14ac:dyDescent="0.25">
      <c r="B85" s="5">
        <v>2</v>
      </c>
      <c r="C85" s="5" t="str">
        <f>_xlfn.XLOOKUP(call_center_data[[#This Row],[agent_id]],Table1[Agent ID],Table1[Full Name])</f>
        <v>Josh Vega</v>
      </c>
      <c r="D85" s="5" t="str">
        <f>_xlfn.XLOOKUP(call_center_data[[#This Row],[agent_id]],Table1[Agent ID],Table1[Supervisor])</f>
        <v>Carol Mario</v>
      </c>
      <c r="E85" s="6">
        <f>_xlfn.XLOOKUP(call_center_data[[#This Row],[agent_id]],Table1[Agent ID],Table1[Hire Date])</f>
        <v>43687</v>
      </c>
      <c r="F85" s="7">
        <f>DATEDIF(call_center_data[[#This Row],[Hire Date]],$Q$6,"M")</f>
        <v>22</v>
      </c>
      <c r="G85" s="6">
        <v>44370</v>
      </c>
      <c r="H85" s="6" t="str">
        <f>TEXT(call_center_data[[#This Row],[date]],"DDD")</f>
        <v>Wed</v>
      </c>
      <c r="I85" s="5">
        <v>3</v>
      </c>
      <c r="J85" s="5" t="str">
        <f>_xlfn.XLOOKUP(call_center_data[[#This Row],[product_id]],Table2[Product_ID],Table2[Product_Name])</f>
        <v>Property Loan</v>
      </c>
      <c r="K85" s="5">
        <v>7</v>
      </c>
      <c r="L85" s="7">
        <v>49</v>
      </c>
      <c r="M85" s="8">
        <f>call_center_data[[#This Row],[avg_ht]]/86400</f>
        <v>5.6712962962962967E-4</v>
      </c>
      <c r="N85" s="5">
        <v>33</v>
      </c>
      <c r="O85" s="5">
        <v>8</v>
      </c>
    </row>
    <row r="86" spans="2:18" x14ac:dyDescent="0.25">
      <c r="B86" s="5">
        <v>8</v>
      </c>
      <c r="C86" s="5" t="str">
        <f>_xlfn.XLOOKUP(call_center_data[[#This Row],[agent_id]],Table1[Agent ID],Table1[Full Name])</f>
        <v>Rachel Delos Santos</v>
      </c>
      <c r="D86" s="5" t="str">
        <f>_xlfn.XLOOKUP(call_center_data[[#This Row],[agent_id]],Table1[Agent ID],Table1[Supervisor])</f>
        <v>Carol Mario</v>
      </c>
      <c r="E86" s="6">
        <f>_xlfn.XLOOKUP(call_center_data[[#This Row],[agent_id]],Table1[Agent ID],Table1[Hire Date])</f>
        <v>44212</v>
      </c>
      <c r="F86" s="7">
        <f>DATEDIF(call_center_data[[#This Row],[Hire Date]],$Q$6,"M")</f>
        <v>5</v>
      </c>
      <c r="G86" s="6">
        <v>44371</v>
      </c>
      <c r="H86" s="6" t="str">
        <f>TEXT(call_center_data[[#This Row],[date]],"DDD")</f>
        <v>Thu</v>
      </c>
      <c r="I86" s="5">
        <v>1</v>
      </c>
      <c r="J86" s="5" t="str">
        <f>_xlfn.XLOOKUP(call_center_data[[#This Row],[product_id]],Table2[Product_ID],Table2[Product_Name])</f>
        <v>Personal Loan</v>
      </c>
      <c r="K86" s="5">
        <v>22</v>
      </c>
      <c r="L86" s="7">
        <v>114</v>
      </c>
      <c r="M86" s="8">
        <f>call_center_data[[#This Row],[avg_ht]]/86400</f>
        <v>1.3194444444444445E-3</v>
      </c>
      <c r="N86" s="5">
        <v>32</v>
      </c>
      <c r="O86" s="5">
        <v>8</v>
      </c>
    </row>
    <row r="87" spans="2:18" ht="15.75" thickBot="1" x14ac:dyDescent="0.3">
      <c r="B87" s="5">
        <v>4</v>
      </c>
      <c r="C87" s="5" t="str">
        <f>_xlfn.XLOOKUP(call_center_data[[#This Row],[agent_id]],Table1[Agent ID],Table1[Full Name])</f>
        <v>Jay Alvarez</v>
      </c>
      <c r="D87" s="5" t="str">
        <f>_xlfn.XLOOKUP(call_center_data[[#This Row],[agent_id]],Table1[Agent ID],Table1[Supervisor])</f>
        <v>Carol Mario</v>
      </c>
      <c r="E87" s="6">
        <f>_xlfn.XLOOKUP(call_center_data[[#This Row],[agent_id]],Table1[Agent ID],Table1[Hire Date])</f>
        <v>43871</v>
      </c>
      <c r="F87" s="7">
        <f>DATEDIF(call_center_data[[#This Row],[Hire Date]],$Q$6,"M")</f>
        <v>16</v>
      </c>
      <c r="G87" s="6">
        <v>44357</v>
      </c>
      <c r="H87" s="6" t="str">
        <f>TEXT(call_center_data[[#This Row],[date]],"DDD")</f>
        <v>Thu</v>
      </c>
      <c r="I87" s="5">
        <v>1</v>
      </c>
      <c r="J87" s="5" t="str">
        <f>_xlfn.XLOOKUP(call_center_data[[#This Row],[product_id]],Table2[Product_ID],Table2[Product_Name])</f>
        <v>Personal Loan</v>
      </c>
      <c r="K87" s="5">
        <v>9</v>
      </c>
      <c r="L87" s="7">
        <v>705</v>
      </c>
      <c r="M87" s="8">
        <f>call_center_data[[#This Row],[avg_ht]]/86400</f>
        <v>8.1597222222222227E-3</v>
      </c>
      <c r="N87" s="5">
        <v>13</v>
      </c>
      <c r="O87" s="5">
        <v>10</v>
      </c>
      <c r="Q87" s="40" t="s">
        <v>62</v>
      </c>
      <c r="R87" s="40"/>
    </row>
    <row r="88" spans="2:18" x14ac:dyDescent="0.25">
      <c r="B88" s="5">
        <v>4</v>
      </c>
      <c r="C88" s="5" t="str">
        <f>_xlfn.XLOOKUP(call_center_data[[#This Row],[agent_id]],Table1[Agent ID],Table1[Full Name])</f>
        <v>Jay Alvarez</v>
      </c>
      <c r="D88" s="5" t="str">
        <f>_xlfn.XLOOKUP(call_center_data[[#This Row],[agent_id]],Table1[Agent ID],Table1[Supervisor])</f>
        <v>Carol Mario</v>
      </c>
      <c r="E88" s="6">
        <f>_xlfn.XLOOKUP(call_center_data[[#This Row],[agent_id]],Table1[Agent ID],Table1[Hire Date])</f>
        <v>43871</v>
      </c>
      <c r="F88" s="7">
        <f>DATEDIF(call_center_data[[#This Row],[Hire Date]],$Q$6,"M")</f>
        <v>16</v>
      </c>
      <c r="G88" s="6">
        <v>44372</v>
      </c>
      <c r="H88" s="6" t="str">
        <f>TEXT(call_center_data[[#This Row],[date]],"DDD")</f>
        <v>Fri</v>
      </c>
      <c r="I88" s="5">
        <v>1</v>
      </c>
      <c r="J88" s="5" t="str">
        <f>_xlfn.XLOOKUP(call_center_data[[#This Row],[product_id]],Table2[Product_ID],Table2[Product_Name])</f>
        <v>Personal Loan</v>
      </c>
      <c r="K88" s="5">
        <v>28</v>
      </c>
      <c r="L88" s="7">
        <v>671</v>
      </c>
      <c r="M88" s="8">
        <f>call_center_data[[#This Row],[avg_ht]]/86400</f>
        <v>7.766203703703704E-3</v>
      </c>
      <c r="N88" s="5">
        <v>90</v>
      </c>
      <c r="O88" s="5">
        <v>6</v>
      </c>
      <c r="Q88" s="16" t="s">
        <v>5</v>
      </c>
      <c r="R88" s="16"/>
    </row>
    <row r="89" spans="2:18" x14ac:dyDescent="0.25">
      <c r="B89" s="5">
        <v>6</v>
      </c>
      <c r="C89" s="5" t="str">
        <f>_xlfn.XLOOKUP(call_center_data[[#This Row],[agent_id]],Table1[Agent ID],Table1[Full Name])</f>
        <v>Jane Hernandez</v>
      </c>
      <c r="D89" s="5" t="str">
        <f>_xlfn.XLOOKUP(call_center_data[[#This Row],[agent_id]],Table1[Agent ID],Table1[Supervisor])</f>
        <v>Lester De Mesa</v>
      </c>
      <c r="E89" s="6">
        <f>_xlfn.XLOOKUP(call_center_data[[#This Row],[agent_id]],Table1[Agent ID],Table1[Hire Date])</f>
        <v>44116</v>
      </c>
      <c r="F89" s="7">
        <f>DATEDIF(call_center_data[[#This Row],[Hire Date]],$Q$6,"M")</f>
        <v>8</v>
      </c>
      <c r="G89" s="6">
        <v>44370</v>
      </c>
      <c r="H89" s="6" t="str">
        <f>TEXT(call_center_data[[#This Row],[date]],"DDD")</f>
        <v>Wed</v>
      </c>
      <c r="I89" s="5">
        <v>1</v>
      </c>
      <c r="J89" s="5" t="str">
        <f>_xlfn.XLOOKUP(call_center_data[[#This Row],[product_id]],Table2[Product_ID],Table2[Product_Name])</f>
        <v>Personal Loan</v>
      </c>
      <c r="K89" s="5">
        <v>16</v>
      </c>
      <c r="L89" s="7">
        <v>604</v>
      </c>
      <c r="M89" s="8">
        <f>call_center_data[[#This Row],[avg_ht]]/86400</f>
        <v>6.9907407407407409E-3</v>
      </c>
      <c r="N89" s="5">
        <v>62</v>
      </c>
      <c r="O89" s="5">
        <v>7</v>
      </c>
    </row>
    <row r="90" spans="2:18" x14ac:dyDescent="0.25">
      <c r="B90" s="5">
        <v>7</v>
      </c>
      <c r="C90" s="5" t="str">
        <f>_xlfn.XLOOKUP(call_center_data[[#This Row],[agent_id]],Table1[Agent ID],Table1[Full Name])</f>
        <v>Peter Rivera</v>
      </c>
      <c r="D90" s="5" t="str">
        <f>_xlfn.XLOOKUP(call_center_data[[#This Row],[agent_id]],Table1[Agent ID],Table1[Supervisor])</f>
        <v>Carol Mario</v>
      </c>
      <c r="E90" s="6">
        <f>_xlfn.XLOOKUP(call_center_data[[#This Row],[agent_id]],Table1[Agent ID],Table1[Hire Date])</f>
        <v>44170</v>
      </c>
      <c r="F90" s="7">
        <f>DATEDIF(call_center_data[[#This Row],[Hire Date]],$Q$6,"M")</f>
        <v>6</v>
      </c>
      <c r="G90" s="6">
        <v>44369</v>
      </c>
      <c r="H90" s="6" t="str">
        <f>TEXT(call_center_data[[#This Row],[date]],"DDD")</f>
        <v>Tue</v>
      </c>
      <c r="I90" s="5">
        <v>1</v>
      </c>
      <c r="J90" s="5" t="str">
        <f>_xlfn.XLOOKUP(call_center_data[[#This Row],[product_id]],Table2[Product_ID],Table2[Product_Name])</f>
        <v>Personal Loan</v>
      </c>
      <c r="K90" s="5">
        <v>28</v>
      </c>
      <c r="L90" s="7">
        <v>1291</v>
      </c>
      <c r="M90" s="8">
        <f>call_center_data[[#This Row],[avg_ht]]/86400</f>
        <v>1.494212962962963E-2</v>
      </c>
      <c r="N90" s="5">
        <v>68</v>
      </c>
      <c r="O90" s="5">
        <v>6</v>
      </c>
      <c r="Q90" t="s">
        <v>49</v>
      </c>
      <c r="R90">
        <v>7.5258964143426299</v>
      </c>
    </row>
    <row r="91" spans="2:18" x14ac:dyDescent="0.25">
      <c r="B91" s="5">
        <v>8</v>
      </c>
      <c r="C91" s="5" t="str">
        <f>_xlfn.XLOOKUP(call_center_data[[#This Row],[agent_id]],Table1[Agent ID],Table1[Full Name])</f>
        <v>Rachel Delos Santos</v>
      </c>
      <c r="D91" s="5" t="str">
        <f>_xlfn.XLOOKUP(call_center_data[[#This Row],[agent_id]],Table1[Agent ID],Table1[Supervisor])</f>
        <v>Carol Mario</v>
      </c>
      <c r="E91" s="6">
        <f>_xlfn.XLOOKUP(call_center_data[[#This Row],[agent_id]],Table1[Agent ID],Table1[Hire Date])</f>
        <v>44212</v>
      </c>
      <c r="F91" s="7">
        <f>DATEDIF(call_center_data[[#This Row],[Hire Date]],$Q$6,"M")</f>
        <v>5</v>
      </c>
      <c r="G91" s="6">
        <v>44364</v>
      </c>
      <c r="H91" s="6" t="str">
        <f>TEXT(call_center_data[[#This Row],[date]],"DDD")</f>
        <v>Thu</v>
      </c>
      <c r="I91" s="5">
        <v>3</v>
      </c>
      <c r="J91" s="5" t="str">
        <f>_xlfn.XLOOKUP(call_center_data[[#This Row],[product_id]],Table2[Product_ID],Table2[Product_Name])</f>
        <v>Property Loan</v>
      </c>
      <c r="K91" s="5">
        <v>29</v>
      </c>
      <c r="L91" s="7">
        <v>56</v>
      </c>
      <c r="M91" s="8">
        <f>call_center_data[[#This Row],[avg_ht]]/86400</f>
        <v>6.4814814814814813E-4</v>
      </c>
      <c r="N91" s="5">
        <v>70</v>
      </c>
      <c r="O91" s="5">
        <v>7</v>
      </c>
      <c r="Q91" t="s">
        <v>50</v>
      </c>
      <c r="R91">
        <v>9.2987740553983955E-2</v>
      </c>
    </row>
    <row r="92" spans="2:18" x14ac:dyDescent="0.25">
      <c r="B92" s="5">
        <v>8</v>
      </c>
      <c r="C92" s="5" t="str">
        <f>_xlfn.XLOOKUP(call_center_data[[#This Row],[agent_id]],Table1[Agent ID],Table1[Full Name])</f>
        <v>Rachel Delos Santos</v>
      </c>
      <c r="D92" s="5" t="str">
        <f>_xlfn.XLOOKUP(call_center_data[[#This Row],[agent_id]],Table1[Agent ID],Table1[Supervisor])</f>
        <v>Carol Mario</v>
      </c>
      <c r="E92" s="6">
        <f>_xlfn.XLOOKUP(call_center_data[[#This Row],[agent_id]],Table1[Agent ID],Table1[Hire Date])</f>
        <v>44212</v>
      </c>
      <c r="F92" s="7">
        <f>DATEDIF(call_center_data[[#This Row],[Hire Date]],$Q$6,"M")</f>
        <v>5</v>
      </c>
      <c r="G92" s="6">
        <v>44357</v>
      </c>
      <c r="H92" s="6" t="str">
        <f>TEXT(call_center_data[[#This Row],[date]],"DDD")</f>
        <v>Thu</v>
      </c>
      <c r="I92" s="5">
        <v>2</v>
      </c>
      <c r="J92" s="5" t="str">
        <f>_xlfn.XLOOKUP(call_center_data[[#This Row],[product_id]],Table2[Product_ID],Table2[Product_Name])</f>
        <v>Car Loan</v>
      </c>
      <c r="K92" s="5">
        <v>27</v>
      </c>
      <c r="L92" s="7">
        <v>405</v>
      </c>
      <c r="M92" s="8">
        <f>call_center_data[[#This Row],[avg_ht]]/86400</f>
        <v>4.6874999999999998E-3</v>
      </c>
      <c r="N92" s="5">
        <v>66</v>
      </c>
      <c r="O92" s="5">
        <v>7</v>
      </c>
      <c r="Q92" t="s">
        <v>51</v>
      </c>
      <c r="R92">
        <v>7</v>
      </c>
    </row>
    <row r="93" spans="2:18" x14ac:dyDescent="0.25">
      <c r="B93" s="5">
        <v>9</v>
      </c>
      <c r="C93" s="5" t="str">
        <f>_xlfn.XLOOKUP(call_center_data[[#This Row],[agent_id]],Table1[Agent ID],Table1[Full Name])</f>
        <v>Cherry Castillo</v>
      </c>
      <c r="D93" s="5" t="str">
        <f>_xlfn.XLOOKUP(call_center_data[[#This Row],[agent_id]],Table1[Agent ID],Table1[Supervisor])</f>
        <v>Lester De Mesa</v>
      </c>
      <c r="E93" s="6">
        <f>_xlfn.XLOOKUP(call_center_data[[#This Row],[agent_id]],Table1[Agent ID],Table1[Hire Date])</f>
        <v>44226</v>
      </c>
      <c r="F93" s="7">
        <f>DATEDIF(call_center_data[[#This Row],[Hire Date]],$Q$6,"M")</f>
        <v>5</v>
      </c>
      <c r="G93" s="6">
        <v>44352</v>
      </c>
      <c r="H93" s="6" t="str">
        <f>TEXT(call_center_data[[#This Row],[date]],"DDD")</f>
        <v>Sat</v>
      </c>
      <c r="I93" s="5">
        <v>1</v>
      </c>
      <c r="J93" s="5" t="str">
        <f>_xlfn.XLOOKUP(call_center_data[[#This Row],[product_id]],Table2[Product_ID],Table2[Product_Name])</f>
        <v>Personal Loan</v>
      </c>
      <c r="K93" s="5">
        <v>32</v>
      </c>
      <c r="L93" s="7">
        <v>1549</v>
      </c>
      <c r="M93" s="8">
        <f>call_center_data[[#This Row],[avg_ht]]/86400</f>
        <v>1.7928240740740741E-2</v>
      </c>
      <c r="N93" s="5">
        <v>85</v>
      </c>
      <c r="O93" s="5">
        <v>5</v>
      </c>
      <c r="Q93" t="s">
        <v>52</v>
      </c>
      <c r="R93">
        <v>7</v>
      </c>
    </row>
    <row r="94" spans="2:18" x14ac:dyDescent="0.25">
      <c r="B94" s="5">
        <v>3</v>
      </c>
      <c r="C94" s="5" t="str">
        <f>_xlfn.XLOOKUP(call_center_data[[#This Row],[agent_id]],Table1[Agent ID],Table1[Full Name])</f>
        <v>Cecille Chen</v>
      </c>
      <c r="D94" s="5" t="str">
        <f>_xlfn.XLOOKUP(call_center_data[[#This Row],[agent_id]],Table1[Agent ID],Table1[Supervisor])</f>
        <v>Lester De Mesa</v>
      </c>
      <c r="E94" s="6">
        <f>_xlfn.XLOOKUP(call_center_data[[#This Row],[agent_id]],Table1[Agent ID],Table1[Hire Date])</f>
        <v>43727</v>
      </c>
      <c r="F94" s="7">
        <f>DATEDIF(call_center_data[[#This Row],[Hire Date]],$Q$6,"M")</f>
        <v>21</v>
      </c>
      <c r="G94" s="6">
        <v>44357</v>
      </c>
      <c r="H94" s="6" t="str">
        <f>TEXT(call_center_data[[#This Row],[date]],"DDD")</f>
        <v>Thu</v>
      </c>
      <c r="I94" s="5">
        <v>3</v>
      </c>
      <c r="J94" s="5" t="str">
        <f>_xlfn.XLOOKUP(call_center_data[[#This Row],[product_id]],Table2[Product_ID],Table2[Product_Name])</f>
        <v>Property Loan</v>
      </c>
      <c r="K94" s="5">
        <v>18</v>
      </c>
      <c r="L94" s="7">
        <v>217</v>
      </c>
      <c r="M94" s="8">
        <f>call_center_data[[#This Row],[avg_ht]]/86400</f>
        <v>2.5115740740740741E-3</v>
      </c>
      <c r="N94" s="5">
        <v>28</v>
      </c>
      <c r="O94" s="5">
        <v>10</v>
      </c>
      <c r="Q94" t="s">
        <v>53</v>
      </c>
      <c r="R94">
        <v>1.4732028689990706</v>
      </c>
    </row>
    <row r="95" spans="2:18" x14ac:dyDescent="0.25">
      <c r="B95" s="5">
        <v>6</v>
      </c>
      <c r="C95" s="5" t="str">
        <f>_xlfn.XLOOKUP(call_center_data[[#This Row],[agent_id]],Table1[Agent ID],Table1[Full Name])</f>
        <v>Jane Hernandez</v>
      </c>
      <c r="D95" s="5" t="str">
        <f>_xlfn.XLOOKUP(call_center_data[[#This Row],[agent_id]],Table1[Agent ID],Table1[Supervisor])</f>
        <v>Lester De Mesa</v>
      </c>
      <c r="E95" s="6">
        <f>_xlfn.XLOOKUP(call_center_data[[#This Row],[agent_id]],Table1[Agent ID],Table1[Hire Date])</f>
        <v>44116</v>
      </c>
      <c r="F95" s="7">
        <f>DATEDIF(call_center_data[[#This Row],[Hire Date]],$Q$6,"M")</f>
        <v>8</v>
      </c>
      <c r="G95" s="6">
        <v>44353</v>
      </c>
      <c r="H95" s="6" t="str">
        <f>TEXT(call_center_data[[#This Row],[date]],"DDD")</f>
        <v>Sun</v>
      </c>
      <c r="I95" s="5">
        <v>2</v>
      </c>
      <c r="J95" s="5" t="str">
        <f>_xlfn.XLOOKUP(call_center_data[[#This Row],[product_id]],Table2[Product_ID],Table2[Product_Name])</f>
        <v>Car Loan</v>
      </c>
      <c r="K95" s="5">
        <v>17</v>
      </c>
      <c r="L95" s="7">
        <v>294</v>
      </c>
      <c r="M95" s="8">
        <f>call_center_data[[#This Row],[avg_ht]]/86400</f>
        <v>3.4027777777777776E-3</v>
      </c>
      <c r="N95" s="5">
        <v>67</v>
      </c>
      <c r="O95" s="5">
        <v>7</v>
      </c>
      <c r="Q95" t="s">
        <v>54</v>
      </c>
      <c r="R95">
        <v>2.1703266932270928</v>
      </c>
    </row>
    <row r="96" spans="2:18" x14ac:dyDescent="0.25">
      <c r="B96" s="5">
        <v>4</v>
      </c>
      <c r="C96" s="5" t="str">
        <f>_xlfn.XLOOKUP(call_center_data[[#This Row],[agent_id]],Table1[Agent ID],Table1[Full Name])</f>
        <v>Jay Alvarez</v>
      </c>
      <c r="D96" s="5" t="str">
        <f>_xlfn.XLOOKUP(call_center_data[[#This Row],[agent_id]],Table1[Agent ID],Table1[Supervisor])</f>
        <v>Carol Mario</v>
      </c>
      <c r="E96" s="6">
        <f>_xlfn.XLOOKUP(call_center_data[[#This Row],[agent_id]],Table1[Agent ID],Table1[Hire Date])</f>
        <v>43871</v>
      </c>
      <c r="F96" s="7">
        <f>DATEDIF(call_center_data[[#This Row],[Hire Date]],$Q$6,"M")</f>
        <v>16</v>
      </c>
      <c r="G96" s="6">
        <v>44356</v>
      </c>
      <c r="H96" s="6" t="str">
        <f>TEXT(call_center_data[[#This Row],[date]],"DDD")</f>
        <v>Wed</v>
      </c>
      <c r="I96" s="5">
        <v>3</v>
      </c>
      <c r="J96" s="5" t="str">
        <f>_xlfn.XLOOKUP(call_center_data[[#This Row],[product_id]],Table2[Product_ID],Table2[Product_Name])</f>
        <v>Property Loan</v>
      </c>
      <c r="K96" s="5">
        <v>14</v>
      </c>
      <c r="L96" s="7">
        <v>18</v>
      </c>
      <c r="M96" s="8">
        <f>call_center_data[[#This Row],[avg_ht]]/86400</f>
        <v>2.0833333333333335E-4</v>
      </c>
      <c r="N96" s="5">
        <v>15</v>
      </c>
      <c r="O96" s="5">
        <v>10</v>
      </c>
      <c r="Q96" t="s">
        <v>55</v>
      </c>
      <c r="R96">
        <v>-0.94741108243725369</v>
      </c>
    </row>
    <row r="97" spans="2:18" x14ac:dyDescent="0.25">
      <c r="B97" s="5">
        <v>7</v>
      </c>
      <c r="C97" s="5" t="str">
        <f>_xlfn.XLOOKUP(call_center_data[[#This Row],[agent_id]],Table1[Agent ID],Table1[Full Name])</f>
        <v>Peter Rivera</v>
      </c>
      <c r="D97" s="5" t="str">
        <f>_xlfn.XLOOKUP(call_center_data[[#This Row],[agent_id]],Table1[Agent ID],Table1[Supervisor])</f>
        <v>Carol Mario</v>
      </c>
      <c r="E97" s="6">
        <f>_xlfn.XLOOKUP(call_center_data[[#This Row],[agent_id]],Table1[Agent ID],Table1[Hire Date])</f>
        <v>44170</v>
      </c>
      <c r="F97" s="7">
        <f>DATEDIF(call_center_data[[#This Row],[Hire Date]],$Q$6,"M")</f>
        <v>6</v>
      </c>
      <c r="G97" s="6">
        <v>44361</v>
      </c>
      <c r="H97" s="6" t="str">
        <f>TEXT(call_center_data[[#This Row],[date]],"DDD")</f>
        <v>Mon</v>
      </c>
      <c r="I97" s="5">
        <v>2</v>
      </c>
      <c r="J97" s="5" t="str">
        <f>_xlfn.XLOOKUP(call_center_data[[#This Row],[product_id]],Table2[Product_ID],Table2[Product_Name])</f>
        <v>Car Loan</v>
      </c>
      <c r="K97" s="5">
        <v>27</v>
      </c>
      <c r="L97" s="7">
        <v>634</v>
      </c>
      <c r="M97" s="8">
        <f>call_center_data[[#This Row],[avg_ht]]/86400</f>
        <v>7.3379629629629628E-3</v>
      </c>
      <c r="N97" s="5">
        <v>68</v>
      </c>
      <c r="O97" s="5">
        <v>6</v>
      </c>
      <c r="Q97" t="s">
        <v>56</v>
      </c>
      <c r="R97">
        <v>0.14561559715690081</v>
      </c>
    </row>
    <row r="98" spans="2:18" x14ac:dyDescent="0.25">
      <c r="B98" s="5">
        <v>4</v>
      </c>
      <c r="C98" s="5" t="str">
        <f>_xlfn.XLOOKUP(call_center_data[[#This Row],[agent_id]],Table1[Agent ID],Table1[Full Name])</f>
        <v>Jay Alvarez</v>
      </c>
      <c r="D98" s="5" t="str">
        <f>_xlfn.XLOOKUP(call_center_data[[#This Row],[agent_id]],Table1[Agent ID],Table1[Supervisor])</f>
        <v>Carol Mario</v>
      </c>
      <c r="E98" s="6">
        <f>_xlfn.XLOOKUP(call_center_data[[#This Row],[agent_id]],Table1[Agent ID],Table1[Hire Date])</f>
        <v>43871</v>
      </c>
      <c r="F98" s="7">
        <f>DATEDIF(call_center_data[[#This Row],[Hire Date]],$Q$6,"M")</f>
        <v>16</v>
      </c>
      <c r="G98" s="6">
        <v>44366</v>
      </c>
      <c r="H98" s="6" t="str">
        <f>TEXT(call_center_data[[#This Row],[date]],"DDD")</f>
        <v>Sat</v>
      </c>
      <c r="I98" s="5">
        <v>1</v>
      </c>
      <c r="J98" s="5" t="str">
        <f>_xlfn.XLOOKUP(call_center_data[[#This Row],[product_id]],Table2[Product_ID],Table2[Product_Name])</f>
        <v>Personal Loan</v>
      </c>
      <c r="K98" s="5">
        <v>23</v>
      </c>
      <c r="L98" s="7">
        <v>448</v>
      </c>
      <c r="M98" s="8">
        <f>call_center_data[[#This Row],[avg_ht]]/86400</f>
        <v>5.185185185185185E-3</v>
      </c>
      <c r="N98" s="5">
        <v>79</v>
      </c>
      <c r="O98" s="5">
        <v>5</v>
      </c>
      <c r="Q98" t="s">
        <v>57</v>
      </c>
      <c r="R98">
        <v>5</v>
      </c>
    </row>
    <row r="99" spans="2:18" x14ac:dyDescent="0.25">
      <c r="B99" s="5">
        <v>9</v>
      </c>
      <c r="C99" s="5" t="str">
        <f>_xlfn.XLOOKUP(call_center_data[[#This Row],[agent_id]],Table1[Agent ID],Table1[Full Name])</f>
        <v>Cherry Castillo</v>
      </c>
      <c r="D99" s="5" t="str">
        <f>_xlfn.XLOOKUP(call_center_data[[#This Row],[agent_id]],Table1[Agent ID],Table1[Supervisor])</f>
        <v>Lester De Mesa</v>
      </c>
      <c r="E99" s="6">
        <f>_xlfn.XLOOKUP(call_center_data[[#This Row],[agent_id]],Table1[Agent ID],Table1[Hire Date])</f>
        <v>44226</v>
      </c>
      <c r="F99" s="7">
        <f>DATEDIF(call_center_data[[#This Row],[Hire Date]],$Q$6,"M")</f>
        <v>5</v>
      </c>
      <c r="G99" s="6">
        <v>44373</v>
      </c>
      <c r="H99" s="6" t="str">
        <f>TEXT(call_center_data[[#This Row],[date]],"DDD")</f>
        <v>Sat</v>
      </c>
      <c r="I99" s="5">
        <v>1</v>
      </c>
      <c r="J99" s="5" t="str">
        <f>_xlfn.XLOOKUP(call_center_data[[#This Row],[product_id]],Table2[Product_ID],Table2[Product_Name])</f>
        <v>Personal Loan</v>
      </c>
      <c r="K99" s="5">
        <v>35</v>
      </c>
      <c r="L99" s="7">
        <v>181</v>
      </c>
      <c r="M99" s="8">
        <f>call_center_data[[#This Row],[avg_ht]]/86400</f>
        <v>2.0949074074074073E-3</v>
      </c>
      <c r="N99" s="5">
        <v>33</v>
      </c>
      <c r="O99" s="5">
        <v>8</v>
      </c>
      <c r="Q99" t="s">
        <v>58</v>
      </c>
      <c r="R99">
        <v>5</v>
      </c>
    </row>
    <row r="100" spans="2:18" x14ac:dyDescent="0.25">
      <c r="B100" s="5">
        <v>1</v>
      </c>
      <c r="C100" s="5" t="str">
        <f>_xlfn.XLOOKUP(call_center_data[[#This Row],[agent_id]],Table1[Agent ID],Table1[Full Name])</f>
        <v>Lisa Diaz</v>
      </c>
      <c r="D100" s="5" t="str">
        <f>_xlfn.XLOOKUP(call_center_data[[#This Row],[agent_id]],Table1[Agent ID],Table1[Supervisor])</f>
        <v>Carol Mario</v>
      </c>
      <c r="E100" s="6">
        <f>_xlfn.XLOOKUP(call_center_data[[#This Row],[agent_id]],Table1[Agent ID],Table1[Hire Date])</f>
        <v>43625</v>
      </c>
      <c r="F100" s="7">
        <f>DATEDIF(call_center_data[[#This Row],[Hire Date]],$Q$6,"M")</f>
        <v>24</v>
      </c>
      <c r="G100" s="6">
        <v>44374</v>
      </c>
      <c r="H100" s="6" t="str">
        <f>TEXT(call_center_data[[#This Row],[date]],"DDD")</f>
        <v>Sun</v>
      </c>
      <c r="I100" s="5">
        <v>3</v>
      </c>
      <c r="J100" s="5" t="str">
        <f>_xlfn.XLOOKUP(call_center_data[[#This Row],[product_id]],Table2[Product_ID],Table2[Product_Name])</f>
        <v>Property Loan</v>
      </c>
      <c r="K100" s="5">
        <v>9</v>
      </c>
      <c r="L100" s="7">
        <v>1119</v>
      </c>
      <c r="M100" s="8">
        <f>call_center_data[[#This Row],[avg_ht]]/86400</f>
        <v>1.2951388888888889E-2</v>
      </c>
      <c r="N100" s="5">
        <v>69</v>
      </c>
      <c r="O100" s="5">
        <v>6</v>
      </c>
      <c r="Q100" t="s">
        <v>59</v>
      </c>
      <c r="R100">
        <v>10</v>
      </c>
    </row>
    <row r="101" spans="2:18" x14ac:dyDescent="0.25">
      <c r="B101" s="5">
        <v>10</v>
      </c>
      <c r="C101" s="5" t="str">
        <f>_xlfn.XLOOKUP(call_center_data[[#This Row],[agent_id]],Table1[Agent ID],Table1[Full Name])</f>
        <v>Mark Ventura</v>
      </c>
      <c r="D101" s="5" t="str">
        <f>_xlfn.XLOOKUP(call_center_data[[#This Row],[agent_id]],Table1[Agent ID],Table1[Supervisor])</f>
        <v>Lester De Mesa</v>
      </c>
      <c r="E101" s="6">
        <f>_xlfn.XLOOKUP(call_center_data[[#This Row],[agent_id]],Table1[Agent ID],Table1[Hire Date])</f>
        <v>44238</v>
      </c>
      <c r="F101" s="7">
        <f>DATEDIF(call_center_data[[#This Row],[Hire Date]],$Q$6,"M")</f>
        <v>4</v>
      </c>
      <c r="G101" s="6">
        <v>44368</v>
      </c>
      <c r="H101" s="6" t="str">
        <f>TEXT(call_center_data[[#This Row],[date]],"DDD")</f>
        <v>Mon</v>
      </c>
      <c r="I101" s="5">
        <v>3</v>
      </c>
      <c r="J101" s="5" t="str">
        <f>_xlfn.XLOOKUP(call_center_data[[#This Row],[product_id]],Table2[Product_ID],Table2[Product_Name])</f>
        <v>Property Loan</v>
      </c>
      <c r="K101" s="5">
        <v>34</v>
      </c>
      <c r="L101" s="7">
        <v>164</v>
      </c>
      <c r="M101" s="8">
        <f>call_center_data[[#This Row],[avg_ht]]/86400</f>
        <v>1.8981481481481482E-3</v>
      </c>
      <c r="N101" s="5">
        <v>30</v>
      </c>
      <c r="O101" s="5">
        <v>10</v>
      </c>
      <c r="Q101" t="s">
        <v>60</v>
      </c>
      <c r="R101">
        <v>1889</v>
      </c>
    </row>
    <row r="102" spans="2:18" ht="15.75" thickBot="1" x14ac:dyDescent="0.3">
      <c r="B102" s="5">
        <v>3</v>
      </c>
      <c r="C102" s="5" t="str">
        <f>_xlfn.XLOOKUP(call_center_data[[#This Row],[agent_id]],Table1[Agent ID],Table1[Full Name])</f>
        <v>Cecille Chen</v>
      </c>
      <c r="D102" s="5" t="str">
        <f>_xlfn.XLOOKUP(call_center_data[[#This Row],[agent_id]],Table1[Agent ID],Table1[Supervisor])</f>
        <v>Lester De Mesa</v>
      </c>
      <c r="E102" s="6">
        <f>_xlfn.XLOOKUP(call_center_data[[#This Row],[agent_id]],Table1[Agent ID],Table1[Hire Date])</f>
        <v>43727</v>
      </c>
      <c r="F102" s="7">
        <f>DATEDIF(call_center_data[[#This Row],[Hire Date]],$Q$6,"M")</f>
        <v>21</v>
      </c>
      <c r="G102" s="6">
        <v>44372</v>
      </c>
      <c r="H102" s="6" t="str">
        <f>TEXT(call_center_data[[#This Row],[date]],"DDD")</f>
        <v>Fri</v>
      </c>
      <c r="I102" s="5">
        <v>3</v>
      </c>
      <c r="J102" s="5" t="str">
        <f>_xlfn.XLOOKUP(call_center_data[[#This Row],[product_id]],Table2[Product_ID],Table2[Product_Name])</f>
        <v>Property Loan</v>
      </c>
      <c r="K102" s="5">
        <v>25</v>
      </c>
      <c r="L102" s="7">
        <v>614</v>
      </c>
      <c r="M102" s="8">
        <f>call_center_data[[#This Row],[avg_ht]]/86400</f>
        <v>7.1064814814814819E-3</v>
      </c>
      <c r="N102" s="5">
        <v>86</v>
      </c>
      <c r="O102" s="5">
        <v>6</v>
      </c>
      <c r="Q102" s="3" t="s">
        <v>61</v>
      </c>
      <c r="R102" s="3">
        <v>251</v>
      </c>
    </row>
    <row r="103" spans="2:18" x14ac:dyDescent="0.25">
      <c r="B103" s="5">
        <v>3</v>
      </c>
      <c r="C103" s="5" t="str">
        <f>_xlfn.XLOOKUP(call_center_data[[#This Row],[agent_id]],Table1[Agent ID],Table1[Full Name])</f>
        <v>Cecille Chen</v>
      </c>
      <c r="D103" s="5" t="str">
        <f>_xlfn.XLOOKUP(call_center_data[[#This Row],[agent_id]],Table1[Agent ID],Table1[Supervisor])</f>
        <v>Lester De Mesa</v>
      </c>
      <c r="E103" s="6">
        <f>_xlfn.XLOOKUP(call_center_data[[#This Row],[agent_id]],Table1[Agent ID],Table1[Hire Date])</f>
        <v>43727</v>
      </c>
      <c r="F103" s="7">
        <f>DATEDIF(call_center_data[[#This Row],[Hire Date]],$Q$6,"M")</f>
        <v>21</v>
      </c>
      <c r="G103" s="6">
        <v>44354</v>
      </c>
      <c r="H103" s="6" t="str">
        <f>TEXT(call_center_data[[#This Row],[date]],"DDD")</f>
        <v>Mon</v>
      </c>
      <c r="I103" s="5">
        <v>3</v>
      </c>
      <c r="J103" s="5" t="str">
        <f>_xlfn.XLOOKUP(call_center_data[[#This Row],[product_id]],Table2[Product_ID],Table2[Product_Name])</f>
        <v>Property Loan</v>
      </c>
      <c r="K103" s="5">
        <v>18</v>
      </c>
      <c r="L103" s="7">
        <v>766</v>
      </c>
      <c r="M103" s="8">
        <f>call_center_data[[#This Row],[avg_ht]]/86400</f>
        <v>8.86574074074074E-3</v>
      </c>
      <c r="N103" s="5">
        <v>61</v>
      </c>
      <c r="O103" s="5">
        <v>7</v>
      </c>
    </row>
    <row r="104" spans="2:18" x14ac:dyDescent="0.25">
      <c r="B104" s="5">
        <v>5</v>
      </c>
      <c r="C104" s="5" t="str">
        <f>_xlfn.XLOOKUP(call_center_data[[#This Row],[agent_id]],Table1[Agent ID],Table1[Full Name])</f>
        <v>Eric Molina</v>
      </c>
      <c r="D104" s="5" t="str">
        <f>_xlfn.XLOOKUP(call_center_data[[#This Row],[agent_id]],Table1[Agent ID],Table1[Supervisor])</f>
        <v>Lester De Mesa</v>
      </c>
      <c r="E104" s="6">
        <f>_xlfn.XLOOKUP(call_center_data[[#This Row],[agent_id]],Table1[Agent ID],Table1[Hire Date])</f>
        <v>43966</v>
      </c>
      <c r="F104" s="7">
        <f>DATEDIF(call_center_data[[#This Row],[Hire Date]],$Q$6,"M")</f>
        <v>13</v>
      </c>
      <c r="G104" s="6">
        <v>44372</v>
      </c>
      <c r="H104" s="6" t="str">
        <f>TEXT(call_center_data[[#This Row],[date]],"DDD")</f>
        <v>Fri</v>
      </c>
      <c r="I104" s="5">
        <v>2</v>
      </c>
      <c r="J104" s="5" t="str">
        <f>_xlfn.XLOOKUP(call_center_data[[#This Row],[product_id]],Table2[Product_ID],Table2[Product_Name])</f>
        <v>Car Loan</v>
      </c>
      <c r="K104" s="5">
        <v>26</v>
      </c>
      <c r="L104" s="7">
        <v>289</v>
      </c>
      <c r="M104" s="8">
        <f>call_center_data[[#This Row],[avg_ht]]/86400</f>
        <v>3.3449074074074076E-3</v>
      </c>
      <c r="N104" s="5">
        <v>55</v>
      </c>
      <c r="O104" s="5">
        <v>7</v>
      </c>
    </row>
    <row r="105" spans="2:18" x14ac:dyDescent="0.25">
      <c r="B105" s="5">
        <v>6</v>
      </c>
      <c r="C105" s="5" t="str">
        <f>_xlfn.XLOOKUP(call_center_data[[#This Row],[agent_id]],Table1[Agent ID],Table1[Full Name])</f>
        <v>Jane Hernandez</v>
      </c>
      <c r="D105" s="5" t="str">
        <f>_xlfn.XLOOKUP(call_center_data[[#This Row],[agent_id]],Table1[Agent ID],Table1[Supervisor])</f>
        <v>Lester De Mesa</v>
      </c>
      <c r="E105" s="6">
        <f>_xlfn.XLOOKUP(call_center_data[[#This Row],[agent_id]],Table1[Agent ID],Table1[Hire Date])</f>
        <v>44116</v>
      </c>
      <c r="F105" s="7">
        <f>DATEDIF(call_center_data[[#This Row],[Hire Date]],$Q$6,"M")</f>
        <v>8</v>
      </c>
      <c r="G105" s="6">
        <v>44373</v>
      </c>
      <c r="H105" s="6" t="str">
        <f>TEXT(call_center_data[[#This Row],[date]],"DDD")</f>
        <v>Sat</v>
      </c>
      <c r="I105" s="5">
        <v>1</v>
      </c>
      <c r="J105" s="5" t="str">
        <f>_xlfn.XLOOKUP(call_center_data[[#This Row],[product_id]],Table2[Product_ID],Table2[Product_Name])</f>
        <v>Personal Loan</v>
      </c>
      <c r="K105" s="5">
        <v>20</v>
      </c>
      <c r="L105" s="7">
        <v>884</v>
      </c>
      <c r="M105" s="8">
        <f>call_center_data[[#This Row],[avg_ht]]/86400</f>
        <v>1.0231481481481482E-2</v>
      </c>
      <c r="N105" s="5">
        <v>43</v>
      </c>
      <c r="O105" s="5">
        <v>8</v>
      </c>
    </row>
    <row r="106" spans="2:18" x14ac:dyDescent="0.25">
      <c r="B106" s="5">
        <v>3</v>
      </c>
      <c r="C106" s="5" t="str">
        <f>_xlfn.XLOOKUP(call_center_data[[#This Row],[agent_id]],Table1[Agent ID],Table1[Full Name])</f>
        <v>Cecille Chen</v>
      </c>
      <c r="D106" s="5" t="str">
        <f>_xlfn.XLOOKUP(call_center_data[[#This Row],[agent_id]],Table1[Agent ID],Table1[Supervisor])</f>
        <v>Lester De Mesa</v>
      </c>
      <c r="E106" s="6">
        <f>_xlfn.XLOOKUP(call_center_data[[#This Row],[agent_id]],Table1[Agent ID],Table1[Hire Date])</f>
        <v>43727</v>
      </c>
      <c r="F106" s="7">
        <f>DATEDIF(call_center_data[[#This Row],[Hire Date]],$Q$6,"M")</f>
        <v>21</v>
      </c>
      <c r="G106" s="6">
        <v>44366</v>
      </c>
      <c r="H106" s="6" t="str">
        <f>TEXT(call_center_data[[#This Row],[date]],"DDD")</f>
        <v>Sat</v>
      </c>
      <c r="I106" s="5">
        <v>3</v>
      </c>
      <c r="J106" s="5" t="str">
        <f>_xlfn.XLOOKUP(call_center_data[[#This Row],[product_id]],Table2[Product_ID],Table2[Product_Name])</f>
        <v>Property Loan</v>
      </c>
      <c r="K106" s="5">
        <v>20</v>
      </c>
      <c r="L106" s="7">
        <v>703</v>
      </c>
      <c r="M106" s="8">
        <f>call_center_data[[#This Row],[avg_ht]]/86400</f>
        <v>8.1365740740740738E-3</v>
      </c>
      <c r="N106" s="5">
        <v>86</v>
      </c>
      <c r="O106" s="5">
        <v>5</v>
      </c>
    </row>
    <row r="107" spans="2:18" x14ac:dyDescent="0.25">
      <c r="B107" s="5">
        <v>8</v>
      </c>
      <c r="C107" s="5" t="str">
        <f>_xlfn.XLOOKUP(call_center_data[[#This Row],[agent_id]],Table1[Agent ID],Table1[Full Name])</f>
        <v>Rachel Delos Santos</v>
      </c>
      <c r="D107" s="5" t="str">
        <f>_xlfn.XLOOKUP(call_center_data[[#This Row],[agent_id]],Table1[Agent ID],Table1[Supervisor])</f>
        <v>Carol Mario</v>
      </c>
      <c r="E107" s="6">
        <f>_xlfn.XLOOKUP(call_center_data[[#This Row],[agent_id]],Table1[Agent ID],Table1[Hire Date])</f>
        <v>44212</v>
      </c>
      <c r="F107" s="7">
        <f>DATEDIF(call_center_data[[#This Row],[Hire Date]],$Q$6,"M")</f>
        <v>5</v>
      </c>
      <c r="G107" s="6">
        <v>44349</v>
      </c>
      <c r="H107" s="6" t="str">
        <f>TEXT(call_center_data[[#This Row],[date]],"DDD")</f>
        <v>Wed</v>
      </c>
      <c r="I107" s="5">
        <v>3</v>
      </c>
      <c r="J107" s="5" t="str">
        <f>_xlfn.XLOOKUP(call_center_data[[#This Row],[product_id]],Table2[Product_ID],Table2[Product_Name])</f>
        <v>Property Loan</v>
      </c>
      <c r="K107" s="5">
        <v>28</v>
      </c>
      <c r="L107" s="7">
        <v>402</v>
      </c>
      <c r="M107" s="8">
        <f>call_center_data[[#This Row],[avg_ht]]/86400</f>
        <v>4.6527777777777774E-3</v>
      </c>
      <c r="N107" s="5">
        <v>63</v>
      </c>
      <c r="O107" s="5">
        <v>7</v>
      </c>
    </row>
    <row r="108" spans="2:18" x14ac:dyDescent="0.25">
      <c r="B108" s="5">
        <v>4</v>
      </c>
      <c r="C108" s="5" t="str">
        <f>_xlfn.XLOOKUP(call_center_data[[#This Row],[agent_id]],Table1[Agent ID],Table1[Full Name])</f>
        <v>Jay Alvarez</v>
      </c>
      <c r="D108" s="5" t="str">
        <f>_xlfn.XLOOKUP(call_center_data[[#This Row],[agent_id]],Table1[Agent ID],Table1[Supervisor])</f>
        <v>Carol Mario</v>
      </c>
      <c r="E108" s="6">
        <f>_xlfn.XLOOKUP(call_center_data[[#This Row],[agent_id]],Table1[Agent ID],Table1[Hire Date])</f>
        <v>43871</v>
      </c>
      <c r="F108" s="7">
        <f>DATEDIF(call_center_data[[#This Row],[Hire Date]],$Q$6,"M")</f>
        <v>16</v>
      </c>
      <c r="G108" s="6">
        <v>44364</v>
      </c>
      <c r="H108" s="6" t="str">
        <f>TEXT(call_center_data[[#This Row],[date]],"DDD")</f>
        <v>Thu</v>
      </c>
      <c r="I108" s="5">
        <v>2</v>
      </c>
      <c r="J108" s="5" t="str">
        <f>_xlfn.XLOOKUP(call_center_data[[#This Row],[product_id]],Table2[Product_ID],Table2[Product_Name])</f>
        <v>Car Loan</v>
      </c>
      <c r="K108" s="5">
        <v>13</v>
      </c>
      <c r="L108" s="7">
        <v>158</v>
      </c>
      <c r="M108" s="8">
        <f>call_center_data[[#This Row],[avg_ht]]/86400</f>
        <v>1.8287037037037037E-3</v>
      </c>
      <c r="N108" s="5">
        <v>36</v>
      </c>
      <c r="O108" s="5">
        <v>8</v>
      </c>
    </row>
    <row r="109" spans="2:18" x14ac:dyDescent="0.25">
      <c r="B109" s="5">
        <v>3</v>
      </c>
      <c r="C109" s="5" t="str">
        <f>_xlfn.XLOOKUP(call_center_data[[#This Row],[agent_id]],Table1[Agent ID],Table1[Full Name])</f>
        <v>Cecille Chen</v>
      </c>
      <c r="D109" s="5" t="str">
        <f>_xlfn.XLOOKUP(call_center_data[[#This Row],[agent_id]],Table1[Agent ID],Table1[Supervisor])</f>
        <v>Lester De Mesa</v>
      </c>
      <c r="E109" s="6">
        <f>_xlfn.XLOOKUP(call_center_data[[#This Row],[agent_id]],Table1[Agent ID],Table1[Hire Date])</f>
        <v>43727</v>
      </c>
      <c r="F109" s="7">
        <f>DATEDIF(call_center_data[[#This Row],[Hire Date]],$Q$6,"M")</f>
        <v>21</v>
      </c>
      <c r="G109" s="6">
        <v>44368</v>
      </c>
      <c r="H109" s="6" t="str">
        <f>TEXT(call_center_data[[#This Row],[date]],"DDD")</f>
        <v>Mon</v>
      </c>
      <c r="I109" s="5">
        <v>2</v>
      </c>
      <c r="J109" s="5" t="str">
        <f>_xlfn.XLOOKUP(call_center_data[[#This Row],[product_id]],Table2[Product_ID],Table2[Product_Name])</f>
        <v>Car Loan</v>
      </c>
      <c r="K109" s="5">
        <v>13</v>
      </c>
      <c r="L109" s="7">
        <v>727</v>
      </c>
      <c r="M109" s="8">
        <f>call_center_data[[#This Row],[avg_ht]]/86400</f>
        <v>8.4143518518518517E-3</v>
      </c>
      <c r="N109" s="5">
        <v>30</v>
      </c>
      <c r="O109" s="5">
        <v>10</v>
      </c>
    </row>
    <row r="110" spans="2:18" x14ac:dyDescent="0.25">
      <c r="B110" s="5">
        <v>8</v>
      </c>
      <c r="C110" s="5" t="str">
        <f>_xlfn.XLOOKUP(call_center_data[[#This Row],[agent_id]],Table1[Agent ID],Table1[Full Name])</f>
        <v>Rachel Delos Santos</v>
      </c>
      <c r="D110" s="5" t="str">
        <f>_xlfn.XLOOKUP(call_center_data[[#This Row],[agent_id]],Table1[Agent ID],Table1[Supervisor])</f>
        <v>Carol Mario</v>
      </c>
      <c r="E110" s="6">
        <f>_xlfn.XLOOKUP(call_center_data[[#This Row],[agent_id]],Table1[Agent ID],Table1[Hire Date])</f>
        <v>44212</v>
      </c>
      <c r="F110" s="7">
        <f>DATEDIF(call_center_data[[#This Row],[Hire Date]],$Q$6,"M")</f>
        <v>5</v>
      </c>
      <c r="G110" s="6">
        <v>44348</v>
      </c>
      <c r="H110" s="6" t="str">
        <f>TEXT(call_center_data[[#This Row],[date]],"DDD")</f>
        <v>Tue</v>
      </c>
      <c r="I110" s="5">
        <v>2</v>
      </c>
      <c r="J110" s="5" t="str">
        <f>_xlfn.XLOOKUP(call_center_data[[#This Row],[product_id]],Table2[Product_ID],Table2[Product_Name])</f>
        <v>Car Loan</v>
      </c>
      <c r="K110" s="5">
        <v>25</v>
      </c>
      <c r="L110" s="7">
        <v>606</v>
      </c>
      <c r="M110" s="8">
        <f>call_center_data[[#This Row],[avg_ht]]/86400</f>
        <v>7.013888888888889E-3</v>
      </c>
      <c r="N110" s="5">
        <v>22</v>
      </c>
      <c r="O110" s="5">
        <v>10</v>
      </c>
    </row>
    <row r="111" spans="2:18" x14ac:dyDescent="0.25">
      <c r="B111" s="5">
        <v>7</v>
      </c>
      <c r="C111" s="5" t="str">
        <f>_xlfn.XLOOKUP(call_center_data[[#This Row],[agent_id]],Table1[Agent ID],Table1[Full Name])</f>
        <v>Peter Rivera</v>
      </c>
      <c r="D111" s="5" t="str">
        <f>_xlfn.XLOOKUP(call_center_data[[#This Row],[agent_id]],Table1[Agent ID],Table1[Supervisor])</f>
        <v>Carol Mario</v>
      </c>
      <c r="E111" s="6">
        <f>_xlfn.XLOOKUP(call_center_data[[#This Row],[agent_id]],Table1[Agent ID],Table1[Hire Date])</f>
        <v>44170</v>
      </c>
      <c r="F111" s="7">
        <f>DATEDIF(call_center_data[[#This Row],[Hire Date]],$Q$6,"M")</f>
        <v>6</v>
      </c>
      <c r="G111" s="6">
        <v>44362</v>
      </c>
      <c r="H111" s="6" t="str">
        <f>TEXT(call_center_data[[#This Row],[date]],"DDD")</f>
        <v>Tue</v>
      </c>
      <c r="I111" s="5">
        <v>3</v>
      </c>
      <c r="J111" s="5" t="str">
        <f>_xlfn.XLOOKUP(call_center_data[[#This Row],[product_id]],Table2[Product_ID],Table2[Product_Name])</f>
        <v>Property Loan</v>
      </c>
      <c r="K111" s="5">
        <v>29</v>
      </c>
      <c r="L111" s="7">
        <v>491</v>
      </c>
      <c r="M111" s="8">
        <f>call_center_data[[#This Row],[avg_ht]]/86400</f>
        <v>5.6828703703703702E-3</v>
      </c>
      <c r="N111" s="5">
        <v>72</v>
      </c>
      <c r="O111" s="5">
        <v>6</v>
      </c>
    </row>
    <row r="112" spans="2:18" x14ac:dyDescent="0.25">
      <c r="B112" s="5">
        <v>7</v>
      </c>
      <c r="C112" s="5" t="str">
        <f>_xlfn.XLOOKUP(call_center_data[[#This Row],[agent_id]],Table1[Agent ID],Table1[Full Name])</f>
        <v>Peter Rivera</v>
      </c>
      <c r="D112" s="5" t="str">
        <f>_xlfn.XLOOKUP(call_center_data[[#This Row],[agent_id]],Table1[Agent ID],Table1[Supervisor])</f>
        <v>Carol Mario</v>
      </c>
      <c r="E112" s="6">
        <f>_xlfn.XLOOKUP(call_center_data[[#This Row],[agent_id]],Table1[Agent ID],Table1[Hire Date])</f>
        <v>44170</v>
      </c>
      <c r="F112" s="7">
        <f>DATEDIF(call_center_data[[#This Row],[Hire Date]],$Q$6,"M")</f>
        <v>6</v>
      </c>
      <c r="G112" s="6">
        <v>44372</v>
      </c>
      <c r="H112" s="6" t="str">
        <f>TEXT(call_center_data[[#This Row],[date]],"DDD")</f>
        <v>Fri</v>
      </c>
      <c r="I112" s="5">
        <v>1</v>
      </c>
      <c r="J112" s="5" t="str">
        <f>_xlfn.XLOOKUP(call_center_data[[#This Row],[product_id]],Table2[Product_ID],Table2[Product_Name])</f>
        <v>Personal Loan</v>
      </c>
      <c r="K112" s="5">
        <v>25</v>
      </c>
      <c r="L112" s="7">
        <v>1453</v>
      </c>
      <c r="M112" s="8">
        <f>call_center_data[[#This Row],[avg_ht]]/86400</f>
        <v>1.681712962962963E-2</v>
      </c>
      <c r="N112" s="5">
        <v>44</v>
      </c>
      <c r="O112" s="5">
        <v>8</v>
      </c>
    </row>
    <row r="113" spans="2:15" x14ac:dyDescent="0.25">
      <c r="B113" s="5">
        <v>1</v>
      </c>
      <c r="C113" s="5" t="str">
        <f>_xlfn.XLOOKUP(call_center_data[[#This Row],[agent_id]],Table1[Agent ID],Table1[Full Name])</f>
        <v>Lisa Diaz</v>
      </c>
      <c r="D113" s="5" t="str">
        <f>_xlfn.XLOOKUP(call_center_data[[#This Row],[agent_id]],Table1[Agent ID],Table1[Supervisor])</f>
        <v>Carol Mario</v>
      </c>
      <c r="E113" s="6">
        <f>_xlfn.XLOOKUP(call_center_data[[#This Row],[agent_id]],Table1[Agent ID],Table1[Hire Date])</f>
        <v>43625</v>
      </c>
      <c r="F113" s="7">
        <f>DATEDIF(call_center_data[[#This Row],[Hire Date]],$Q$6,"M")</f>
        <v>24</v>
      </c>
      <c r="G113" s="6">
        <v>44367</v>
      </c>
      <c r="H113" s="6" t="str">
        <f>TEXT(call_center_data[[#This Row],[date]],"DDD")</f>
        <v>Sun</v>
      </c>
      <c r="I113" s="5">
        <v>2</v>
      </c>
      <c r="J113" s="5" t="str">
        <f>_xlfn.XLOOKUP(call_center_data[[#This Row],[product_id]],Table2[Product_ID],Table2[Product_Name])</f>
        <v>Car Loan</v>
      </c>
      <c r="K113" s="5">
        <v>9</v>
      </c>
      <c r="L113" s="7">
        <v>1986</v>
      </c>
      <c r="M113" s="8">
        <f>call_center_data[[#This Row],[avg_ht]]/86400</f>
        <v>2.298611111111111E-2</v>
      </c>
      <c r="N113" s="5">
        <v>11</v>
      </c>
      <c r="O113" s="5">
        <v>10</v>
      </c>
    </row>
    <row r="114" spans="2:15" x14ac:dyDescent="0.25">
      <c r="B114" s="5">
        <v>1</v>
      </c>
      <c r="C114" s="5" t="str">
        <f>_xlfn.XLOOKUP(call_center_data[[#This Row],[agent_id]],Table1[Agent ID],Table1[Full Name])</f>
        <v>Lisa Diaz</v>
      </c>
      <c r="D114" s="5" t="str">
        <f>_xlfn.XLOOKUP(call_center_data[[#This Row],[agent_id]],Table1[Agent ID],Table1[Supervisor])</f>
        <v>Carol Mario</v>
      </c>
      <c r="E114" s="6">
        <f>_xlfn.XLOOKUP(call_center_data[[#This Row],[agent_id]],Table1[Agent ID],Table1[Hire Date])</f>
        <v>43625</v>
      </c>
      <c r="F114" s="7">
        <f>DATEDIF(call_center_data[[#This Row],[Hire Date]],$Q$6,"M")</f>
        <v>24</v>
      </c>
      <c r="G114" s="6">
        <v>44353</v>
      </c>
      <c r="H114" s="6" t="str">
        <f>TEXT(call_center_data[[#This Row],[date]],"DDD")</f>
        <v>Sun</v>
      </c>
      <c r="I114" s="5">
        <v>3</v>
      </c>
      <c r="J114" s="5" t="str">
        <f>_xlfn.XLOOKUP(call_center_data[[#This Row],[product_id]],Table2[Product_ID],Table2[Product_Name])</f>
        <v>Property Loan</v>
      </c>
      <c r="K114" s="5">
        <v>8</v>
      </c>
      <c r="L114" s="7">
        <v>821</v>
      </c>
      <c r="M114" s="8">
        <f>call_center_data[[#This Row],[avg_ht]]/86400</f>
        <v>9.5023148148148141E-3</v>
      </c>
      <c r="N114" s="5">
        <v>83</v>
      </c>
      <c r="O114" s="5">
        <v>6</v>
      </c>
    </row>
    <row r="115" spans="2:15" x14ac:dyDescent="0.25">
      <c r="B115" s="5">
        <v>9</v>
      </c>
      <c r="C115" s="5" t="str">
        <f>_xlfn.XLOOKUP(call_center_data[[#This Row],[agent_id]],Table1[Agent ID],Table1[Full Name])</f>
        <v>Cherry Castillo</v>
      </c>
      <c r="D115" s="5" t="str">
        <f>_xlfn.XLOOKUP(call_center_data[[#This Row],[agent_id]],Table1[Agent ID],Table1[Supervisor])</f>
        <v>Lester De Mesa</v>
      </c>
      <c r="E115" s="6">
        <f>_xlfn.XLOOKUP(call_center_data[[#This Row],[agent_id]],Table1[Agent ID],Table1[Hire Date])</f>
        <v>44226</v>
      </c>
      <c r="F115" s="7">
        <f>DATEDIF(call_center_data[[#This Row],[Hire Date]],$Q$6,"M")</f>
        <v>5</v>
      </c>
      <c r="G115" s="6">
        <v>44349</v>
      </c>
      <c r="H115" s="6" t="str">
        <f>TEXT(call_center_data[[#This Row],[date]],"DDD")</f>
        <v>Wed</v>
      </c>
      <c r="I115" s="5">
        <v>1</v>
      </c>
      <c r="J115" s="5" t="str">
        <f>_xlfn.XLOOKUP(call_center_data[[#This Row],[product_id]],Table2[Product_ID],Table2[Product_Name])</f>
        <v>Personal Loan</v>
      </c>
      <c r="K115" s="5">
        <v>33</v>
      </c>
      <c r="L115" s="7">
        <v>1292</v>
      </c>
      <c r="M115" s="8">
        <f>call_center_data[[#This Row],[avg_ht]]/86400</f>
        <v>1.4953703703703703E-2</v>
      </c>
      <c r="N115" s="5">
        <v>45</v>
      </c>
      <c r="O115" s="5">
        <v>8</v>
      </c>
    </row>
    <row r="116" spans="2:15" x14ac:dyDescent="0.25">
      <c r="B116" s="5">
        <v>10</v>
      </c>
      <c r="C116" s="5" t="str">
        <f>_xlfn.XLOOKUP(call_center_data[[#This Row],[agent_id]],Table1[Agent ID],Table1[Full Name])</f>
        <v>Mark Ventura</v>
      </c>
      <c r="D116" s="5" t="str">
        <f>_xlfn.XLOOKUP(call_center_data[[#This Row],[agent_id]],Table1[Agent ID],Table1[Supervisor])</f>
        <v>Lester De Mesa</v>
      </c>
      <c r="E116" s="6">
        <f>_xlfn.XLOOKUP(call_center_data[[#This Row],[agent_id]],Table1[Agent ID],Table1[Hire Date])</f>
        <v>44238</v>
      </c>
      <c r="F116" s="7">
        <f>DATEDIF(call_center_data[[#This Row],[Hire Date]],$Q$6,"M")</f>
        <v>4</v>
      </c>
      <c r="G116" s="6">
        <v>44352</v>
      </c>
      <c r="H116" s="6" t="str">
        <f>TEXT(call_center_data[[#This Row],[date]],"DDD")</f>
        <v>Sat</v>
      </c>
      <c r="I116" s="5">
        <v>2</v>
      </c>
      <c r="J116" s="5" t="str">
        <f>_xlfn.XLOOKUP(call_center_data[[#This Row],[product_id]],Table2[Product_ID],Table2[Product_Name])</f>
        <v>Car Loan</v>
      </c>
      <c r="K116" s="5">
        <v>32</v>
      </c>
      <c r="L116" s="7">
        <v>701</v>
      </c>
      <c r="M116" s="8">
        <f>call_center_data[[#This Row],[avg_ht]]/86400</f>
        <v>8.1134259259259267E-3</v>
      </c>
      <c r="N116" s="5">
        <v>69</v>
      </c>
      <c r="O116" s="5">
        <v>7</v>
      </c>
    </row>
    <row r="117" spans="2:15" x14ac:dyDescent="0.25">
      <c r="B117" s="5">
        <v>2</v>
      </c>
      <c r="C117" s="5" t="str">
        <f>_xlfn.XLOOKUP(call_center_data[[#This Row],[agent_id]],Table1[Agent ID],Table1[Full Name])</f>
        <v>Josh Vega</v>
      </c>
      <c r="D117" s="5" t="str">
        <f>_xlfn.XLOOKUP(call_center_data[[#This Row],[agent_id]],Table1[Agent ID],Table1[Supervisor])</f>
        <v>Carol Mario</v>
      </c>
      <c r="E117" s="6">
        <f>_xlfn.XLOOKUP(call_center_data[[#This Row],[agent_id]],Table1[Agent ID],Table1[Hire Date])</f>
        <v>43687</v>
      </c>
      <c r="F117" s="7">
        <f>DATEDIF(call_center_data[[#This Row],[Hire Date]],$Q$6,"M")</f>
        <v>22</v>
      </c>
      <c r="G117" s="6">
        <v>44352</v>
      </c>
      <c r="H117" s="6" t="str">
        <f>TEXT(call_center_data[[#This Row],[date]],"DDD")</f>
        <v>Sat</v>
      </c>
      <c r="I117" s="5">
        <v>3</v>
      </c>
      <c r="J117" s="5" t="str">
        <f>_xlfn.XLOOKUP(call_center_data[[#This Row],[product_id]],Table2[Product_ID],Table2[Product_Name])</f>
        <v>Property Loan</v>
      </c>
      <c r="K117" s="5">
        <v>24</v>
      </c>
      <c r="L117" s="7">
        <v>186</v>
      </c>
      <c r="M117" s="8">
        <f>call_center_data[[#This Row],[avg_ht]]/86400</f>
        <v>2.1527777777777778E-3</v>
      </c>
      <c r="N117" s="5">
        <v>84</v>
      </c>
      <c r="O117" s="5">
        <v>6</v>
      </c>
    </row>
    <row r="118" spans="2:15" x14ac:dyDescent="0.25">
      <c r="B118" s="5">
        <v>7</v>
      </c>
      <c r="C118" s="5" t="str">
        <f>_xlfn.XLOOKUP(call_center_data[[#This Row],[agent_id]],Table1[Agent ID],Table1[Full Name])</f>
        <v>Peter Rivera</v>
      </c>
      <c r="D118" s="5" t="str">
        <f>_xlfn.XLOOKUP(call_center_data[[#This Row],[agent_id]],Table1[Agent ID],Table1[Supervisor])</f>
        <v>Carol Mario</v>
      </c>
      <c r="E118" s="6">
        <f>_xlfn.XLOOKUP(call_center_data[[#This Row],[agent_id]],Table1[Agent ID],Table1[Hire Date])</f>
        <v>44170</v>
      </c>
      <c r="F118" s="7">
        <f>DATEDIF(call_center_data[[#This Row],[Hire Date]],$Q$6,"M")</f>
        <v>6</v>
      </c>
      <c r="G118" s="6">
        <v>44364</v>
      </c>
      <c r="H118" s="6" t="str">
        <f>TEXT(call_center_data[[#This Row],[date]],"DDD")</f>
        <v>Thu</v>
      </c>
      <c r="I118" s="5">
        <v>2</v>
      </c>
      <c r="J118" s="5" t="str">
        <f>_xlfn.XLOOKUP(call_center_data[[#This Row],[product_id]],Table2[Product_ID],Table2[Product_Name])</f>
        <v>Car Loan</v>
      </c>
      <c r="K118" s="5">
        <v>30</v>
      </c>
      <c r="L118" s="7">
        <v>656</v>
      </c>
      <c r="M118" s="8">
        <f>call_center_data[[#This Row],[avg_ht]]/86400</f>
        <v>7.5925925925925926E-3</v>
      </c>
      <c r="N118" s="5">
        <v>69</v>
      </c>
      <c r="O118" s="5">
        <v>7</v>
      </c>
    </row>
    <row r="119" spans="2:15" x14ac:dyDescent="0.25">
      <c r="B119" s="5">
        <v>2</v>
      </c>
      <c r="C119" s="5" t="str">
        <f>_xlfn.XLOOKUP(call_center_data[[#This Row],[agent_id]],Table1[Agent ID],Table1[Full Name])</f>
        <v>Josh Vega</v>
      </c>
      <c r="D119" s="5" t="str">
        <f>_xlfn.XLOOKUP(call_center_data[[#This Row],[agent_id]],Table1[Agent ID],Table1[Supervisor])</f>
        <v>Carol Mario</v>
      </c>
      <c r="E119" s="6">
        <f>_xlfn.XLOOKUP(call_center_data[[#This Row],[agent_id]],Table1[Agent ID],Table1[Hire Date])</f>
        <v>43687</v>
      </c>
      <c r="F119" s="7">
        <f>DATEDIF(call_center_data[[#This Row],[Hire Date]],$Q$6,"M")</f>
        <v>22</v>
      </c>
      <c r="G119" s="6">
        <v>44361</v>
      </c>
      <c r="H119" s="6" t="str">
        <f>TEXT(call_center_data[[#This Row],[date]],"DDD")</f>
        <v>Mon</v>
      </c>
      <c r="I119" s="5">
        <v>3</v>
      </c>
      <c r="J119" s="5" t="str">
        <f>_xlfn.XLOOKUP(call_center_data[[#This Row],[product_id]],Table2[Product_ID],Table2[Product_Name])</f>
        <v>Property Loan</v>
      </c>
      <c r="K119" s="5">
        <v>5</v>
      </c>
      <c r="L119" s="7">
        <v>199</v>
      </c>
      <c r="M119" s="8">
        <f>call_center_data[[#This Row],[avg_ht]]/86400</f>
        <v>2.3032407407407407E-3</v>
      </c>
      <c r="N119" s="5">
        <v>42</v>
      </c>
      <c r="O119" s="5">
        <v>8</v>
      </c>
    </row>
    <row r="120" spans="2:15" x14ac:dyDescent="0.25">
      <c r="B120" s="5">
        <v>3</v>
      </c>
      <c r="C120" s="5" t="str">
        <f>_xlfn.XLOOKUP(call_center_data[[#This Row],[agent_id]],Table1[Agent ID],Table1[Full Name])</f>
        <v>Cecille Chen</v>
      </c>
      <c r="D120" s="5" t="str">
        <f>_xlfn.XLOOKUP(call_center_data[[#This Row],[agent_id]],Table1[Agent ID],Table1[Supervisor])</f>
        <v>Lester De Mesa</v>
      </c>
      <c r="E120" s="6">
        <f>_xlfn.XLOOKUP(call_center_data[[#This Row],[agent_id]],Table1[Agent ID],Table1[Hire Date])</f>
        <v>43727</v>
      </c>
      <c r="F120" s="7">
        <f>DATEDIF(call_center_data[[#This Row],[Hire Date]],$Q$6,"M")</f>
        <v>21</v>
      </c>
      <c r="G120" s="6">
        <v>44358</v>
      </c>
      <c r="H120" s="6" t="str">
        <f>TEXT(call_center_data[[#This Row],[date]],"DDD")</f>
        <v>Fri</v>
      </c>
      <c r="I120" s="5">
        <v>1</v>
      </c>
      <c r="J120" s="5" t="str">
        <f>_xlfn.XLOOKUP(call_center_data[[#This Row],[product_id]],Table2[Product_ID],Table2[Product_Name])</f>
        <v>Personal Loan</v>
      </c>
      <c r="K120" s="5">
        <v>26</v>
      </c>
      <c r="L120" s="7">
        <v>1483</v>
      </c>
      <c r="M120" s="8">
        <f>call_center_data[[#This Row],[avg_ht]]/86400</f>
        <v>1.7164351851851851E-2</v>
      </c>
      <c r="N120" s="5">
        <v>67</v>
      </c>
      <c r="O120" s="5">
        <v>6</v>
      </c>
    </row>
    <row r="121" spans="2:15" x14ac:dyDescent="0.25">
      <c r="B121" s="5">
        <v>5</v>
      </c>
      <c r="C121" s="5" t="str">
        <f>_xlfn.XLOOKUP(call_center_data[[#This Row],[agent_id]],Table1[Agent ID],Table1[Full Name])</f>
        <v>Eric Molina</v>
      </c>
      <c r="D121" s="5" t="str">
        <f>_xlfn.XLOOKUP(call_center_data[[#This Row],[agent_id]],Table1[Agent ID],Table1[Supervisor])</f>
        <v>Lester De Mesa</v>
      </c>
      <c r="E121" s="6">
        <f>_xlfn.XLOOKUP(call_center_data[[#This Row],[agent_id]],Table1[Agent ID],Table1[Hire Date])</f>
        <v>43966</v>
      </c>
      <c r="F121" s="7">
        <f>DATEDIF(call_center_data[[#This Row],[Hire Date]],$Q$6,"M")</f>
        <v>13</v>
      </c>
      <c r="G121" s="6">
        <v>44356</v>
      </c>
      <c r="H121" s="6" t="str">
        <f>TEXT(call_center_data[[#This Row],[date]],"DDD")</f>
        <v>Wed</v>
      </c>
      <c r="I121" s="5">
        <v>1</v>
      </c>
      <c r="J121" s="5" t="str">
        <f>_xlfn.XLOOKUP(call_center_data[[#This Row],[product_id]],Table2[Product_ID],Table2[Product_Name])</f>
        <v>Personal Loan</v>
      </c>
      <c r="K121" s="5">
        <v>21</v>
      </c>
      <c r="L121" s="7">
        <v>1609</v>
      </c>
      <c r="M121" s="8">
        <f>call_center_data[[#This Row],[avg_ht]]/86400</f>
        <v>1.8622685185185187E-2</v>
      </c>
      <c r="N121" s="5">
        <v>28</v>
      </c>
      <c r="O121" s="5">
        <v>9</v>
      </c>
    </row>
    <row r="122" spans="2:15" x14ac:dyDescent="0.25">
      <c r="B122" s="5">
        <v>4</v>
      </c>
      <c r="C122" s="5" t="str">
        <f>_xlfn.XLOOKUP(call_center_data[[#This Row],[agent_id]],Table1[Agent ID],Table1[Full Name])</f>
        <v>Jay Alvarez</v>
      </c>
      <c r="D122" s="5" t="str">
        <f>_xlfn.XLOOKUP(call_center_data[[#This Row],[agent_id]],Table1[Agent ID],Table1[Supervisor])</f>
        <v>Carol Mario</v>
      </c>
      <c r="E122" s="6">
        <f>_xlfn.XLOOKUP(call_center_data[[#This Row],[agent_id]],Table1[Agent ID],Table1[Hire Date])</f>
        <v>43871</v>
      </c>
      <c r="F122" s="7">
        <f>DATEDIF(call_center_data[[#This Row],[Hire Date]],$Q$6,"M")</f>
        <v>16</v>
      </c>
      <c r="G122" s="6">
        <v>44374</v>
      </c>
      <c r="H122" s="6" t="str">
        <f>TEXT(call_center_data[[#This Row],[date]],"DDD")</f>
        <v>Sun</v>
      </c>
      <c r="I122" s="5">
        <v>3</v>
      </c>
      <c r="J122" s="5" t="str">
        <f>_xlfn.XLOOKUP(call_center_data[[#This Row],[product_id]],Table2[Product_ID],Table2[Product_Name])</f>
        <v>Property Loan</v>
      </c>
      <c r="K122" s="5">
        <v>14</v>
      </c>
      <c r="L122" s="7">
        <v>187</v>
      </c>
      <c r="M122" s="8">
        <f>call_center_data[[#This Row],[avg_ht]]/86400</f>
        <v>2.1643518518518518E-3</v>
      </c>
      <c r="N122" s="5">
        <v>81</v>
      </c>
      <c r="O122" s="5">
        <v>6</v>
      </c>
    </row>
    <row r="123" spans="2:15" x14ac:dyDescent="0.25">
      <c r="B123" s="5">
        <v>4</v>
      </c>
      <c r="C123" s="5" t="str">
        <f>_xlfn.XLOOKUP(call_center_data[[#This Row],[agent_id]],Table1[Agent ID],Table1[Full Name])</f>
        <v>Jay Alvarez</v>
      </c>
      <c r="D123" s="5" t="str">
        <f>_xlfn.XLOOKUP(call_center_data[[#This Row],[agent_id]],Table1[Agent ID],Table1[Supervisor])</f>
        <v>Carol Mario</v>
      </c>
      <c r="E123" s="6">
        <f>_xlfn.XLOOKUP(call_center_data[[#This Row],[agent_id]],Table1[Agent ID],Table1[Hire Date])</f>
        <v>43871</v>
      </c>
      <c r="F123" s="7">
        <f>DATEDIF(call_center_data[[#This Row],[Hire Date]],$Q$6,"M")</f>
        <v>16</v>
      </c>
      <c r="G123" s="6">
        <v>44350</v>
      </c>
      <c r="H123" s="6" t="str">
        <f>TEXT(call_center_data[[#This Row],[date]],"DDD")</f>
        <v>Thu</v>
      </c>
      <c r="I123" s="5">
        <v>3</v>
      </c>
      <c r="J123" s="5" t="str">
        <f>_xlfn.XLOOKUP(call_center_data[[#This Row],[product_id]],Table2[Product_ID],Table2[Product_Name])</f>
        <v>Property Loan</v>
      </c>
      <c r="K123" s="5">
        <v>14</v>
      </c>
      <c r="L123" s="7">
        <v>198</v>
      </c>
      <c r="M123" s="8">
        <f>call_center_data[[#This Row],[avg_ht]]/86400</f>
        <v>2.2916666666666667E-3</v>
      </c>
      <c r="N123" s="5">
        <v>76</v>
      </c>
      <c r="O123" s="5">
        <v>6</v>
      </c>
    </row>
    <row r="124" spans="2:15" x14ac:dyDescent="0.25">
      <c r="B124" s="5">
        <v>10</v>
      </c>
      <c r="C124" s="5" t="str">
        <f>_xlfn.XLOOKUP(call_center_data[[#This Row],[agent_id]],Table1[Agent ID],Table1[Full Name])</f>
        <v>Mark Ventura</v>
      </c>
      <c r="D124" s="5" t="str">
        <f>_xlfn.XLOOKUP(call_center_data[[#This Row],[agent_id]],Table1[Agent ID],Table1[Supervisor])</f>
        <v>Lester De Mesa</v>
      </c>
      <c r="E124" s="6">
        <f>_xlfn.XLOOKUP(call_center_data[[#This Row],[agent_id]],Table1[Agent ID],Table1[Hire Date])</f>
        <v>44238</v>
      </c>
      <c r="F124" s="7">
        <f>DATEDIF(call_center_data[[#This Row],[Hire Date]],$Q$6,"M")</f>
        <v>4</v>
      </c>
      <c r="G124" s="6">
        <v>44365</v>
      </c>
      <c r="H124" s="6" t="str">
        <f>TEXT(call_center_data[[#This Row],[date]],"DDD")</f>
        <v>Fri</v>
      </c>
      <c r="I124" s="5">
        <v>3</v>
      </c>
      <c r="J124" s="5" t="str">
        <f>_xlfn.XLOOKUP(call_center_data[[#This Row],[product_id]],Table2[Product_ID],Table2[Product_Name])</f>
        <v>Property Loan</v>
      </c>
      <c r="K124" s="5">
        <v>35</v>
      </c>
      <c r="L124" s="7">
        <v>470</v>
      </c>
      <c r="M124" s="8">
        <f>call_center_data[[#This Row],[avg_ht]]/86400</f>
        <v>5.4398148148148149E-3</v>
      </c>
      <c r="N124" s="5">
        <v>38</v>
      </c>
      <c r="O124" s="5">
        <v>8</v>
      </c>
    </row>
    <row r="125" spans="2:15" x14ac:dyDescent="0.25">
      <c r="B125" s="5">
        <v>4</v>
      </c>
      <c r="C125" s="5" t="str">
        <f>_xlfn.XLOOKUP(call_center_data[[#This Row],[agent_id]],Table1[Agent ID],Table1[Full Name])</f>
        <v>Jay Alvarez</v>
      </c>
      <c r="D125" s="5" t="str">
        <f>_xlfn.XLOOKUP(call_center_data[[#This Row],[agent_id]],Table1[Agent ID],Table1[Supervisor])</f>
        <v>Carol Mario</v>
      </c>
      <c r="E125" s="6">
        <f>_xlfn.XLOOKUP(call_center_data[[#This Row],[agent_id]],Table1[Agent ID],Table1[Hire Date])</f>
        <v>43871</v>
      </c>
      <c r="F125" s="7">
        <f>DATEDIF(call_center_data[[#This Row],[Hire Date]],$Q$6,"M")</f>
        <v>16</v>
      </c>
      <c r="G125" s="6">
        <v>44354</v>
      </c>
      <c r="H125" s="6" t="str">
        <f>TEXT(call_center_data[[#This Row],[date]],"DDD")</f>
        <v>Mon</v>
      </c>
      <c r="I125" s="5">
        <v>1</v>
      </c>
      <c r="J125" s="5" t="str">
        <f>_xlfn.XLOOKUP(call_center_data[[#This Row],[product_id]],Table2[Product_ID],Table2[Product_Name])</f>
        <v>Personal Loan</v>
      </c>
      <c r="K125" s="5">
        <v>10</v>
      </c>
      <c r="L125" s="7">
        <v>975</v>
      </c>
      <c r="M125" s="8">
        <f>call_center_data[[#This Row],[avg_ht]]/86400</f>
        <v>1.1284722222222222E-2</v>
      </c>
      <c r="N125" s="5">
        <v>37</v>
      </c>
      <c r="O125" s="5">
        <v>8</v>
      </c>
    </row>
    <row r="126" spans="2:15" x14ac:dyDescent="0.25">
      <c r="B126" s="5">
        <v>9</v>
      </c>
      <c r="C126" s="5" t="str">
        <f>_xlfn.XLOOKUP(call_center_data[[#This Row],[agent_id]],Table1[Agent ID],Table1[Full Name])</f>
        <v>Cherry Castillo</v>
      </c>
      <c r="D126" s="5" t="str">
        <f>_xlfn.XLOOKUP(call_center_data[[#This Row],[agent_id]],Table1[Agent ID],Table1[Supervisor])</f>
        <v>Lester De Mesa</v>
      </c>
      <c r="E126" s="6">
        <f>_xlfn.XLOOKUP(call_center_data[[#This Row],[agent_id]],Table1[Agent ID],Table1[Hire Date])</f>
        <v>44226</v>
      </c>
      <c r="F126" s="7">
        <f>DATEDIF(call_center_data[[#This Row],[Hire Date]],$Q$6,"M")</f>
        <v>5</v>
      </c>
      <c r="G126" s="6">
        <v>44353</v>
      </c>
      <c r="H126" s="6" t="str">
        <f>TEXT(call_center_data[[#This Row],[date]],"DDD")</f>
        <v>Sun</v>
      </c>
      <c r="I126" s="5">
        <v>2</v>
      </c>
      <c r="J126" s="5" t="str">
        <f>_xlfn.XLOOKUP(call_center_data[[#This Row],[product_id]],Table2[Product_ID],Table2[Product_Name])</f>
        <v>Car Loan</v>
      </c>
      <c r="K126" s="5">
        <v>36</v>
      </c>
      <c r="L126" s="7">
        <v>778</v>
      </c>
      <c r="M126" s="8">
        <f>call_center_data[[#This Row],[avg_ht]]/86400</f>
        <v>9.0046296296296298E-3</v>
      </c>
      <c r="N126" s="5">
        <v>32</v>
      </c>
      <c r="O126" s="5">
        <v>8</v>
      </c>
    </row>
    <row r="127" spans="2:15" x14ac:dyDescent="0.25">
      <c r="B127" s="5">
        <v>2</v>
      </c>
      <c r="C127" s="5" t="str">
        <f>_xlfn.XLOOKUP(call_center_data[[#This Row],[agent_id]],Table1[Agent ID],Table1[Full Name])</f>
        <v>Josh Vega</v>
      </c>
      <c r="D127" s="5" t="str">
        <f>_xlfn.XLOOKUP(call_center_data[[#This Row],[agent_id]],Table1[Agent ID],Table1[Supervisor])</f>
        <v>Carol Mario</v>
      </c>
      <c r="E127" s="6">
        <f>_xlfn.XLOOKUP(call_center_data[[#This Row],[agent_id]],Table1[Agent ID],Table1[Hire Date])</f>
        <v>43687</v>
      </c>
      <c r="F127" s="7">
        <f>DATEDIF(call_center_data[[#This Row],[Hire Date]],$Q$6,"M")</f>
        <v>22</v>
      </c>
      <c r="G127" s="6">
        <v>44356</v>
      </c>
      <c r="H127" s="6" t="str">
        <f>TEXT(call_center_data[[#This Row],[date]],"DDD")</f>
        <v>Wed</v>
      </c>
      <c r="I127" s="5">
        <v>1</v>
      </c>
      <c r="J127" s="5" t="str">
        <f>_xlfn.XLOOKUP(call_center_data[[#This Row],[product_id]],Table2[Product_ID],Table2[Product_Name])</f>
        <v>Personal Loan</v>
      </c>
      <c r="K127" s="5">
        <v>4</v>
      </c>
      <c r="L127" s="7">
        <v>730</v>
      </c>
      <c r="M127" s="8">
        <f>call_center_data[[#This Row],[avg_ht]]/86400</f>
        <v>8.4490740740740741E-3</v>
      </c>
      <c r="N127" s="5">
        <v>57</v>
      </c>
      <c r="O127" s="5">
        <v>7</v>
      </c>
    </row>
    <row r="128" spans="2:15" x14ac:dyDescent="0.25">
      <c r="B128" s="5">
        <v>8</v>
      </c>
      <c r="C128" s="5" t="str">
        <f>_xlfn.XLOOKUP(call_center_data[[#This Row],[agent_id]],Table1[Agent ID],Table1[Full Name])</f>
        <v>Rachel Delos Santos</v>
      </c>
      <c r="D128" s="5" t="str">
        <f>_xlfn.XLOOKUP(call_center_data[[#This Row],[agent_id]],Table1[Agent ID],Table1[Supervisor])</f>
        <v>Carol Mario</v>
      </c>
      <c r="E128" s="6">
        <f>_xlfn.XLOOKUP(call_center_data[[#This Row],[agent_id]],Table1[Agent ID],Table1[Hire Date])</f>
        <v>44212</v>
      </c>
      <c r="F128" s="7">
        <f>DATEDIF(call_center_data[[#This Row],[Hire Date]],$Q$6,"M")</f>
        <v>5</v>
      </c>
      <c r="G128" s="6">
        <v>44360</v>
      </c>
      <c r="H128" s="6" t="str">
        <f>TEXT(call_center_data[[#This Row],[date]],"DDD")</f>
        <v>Sun</v>
      </c>
      <c r="I128" s="5">
        <v>2</v>
      </c>
      <c r="J128" s="5" t="str">
        <f>_xlfn.XLOOKUP(call_center_data[[#This Row],[product_id]],Table2[Product_ID],Table2[Product_Name])</f>
        <v>Car Loan</v>
      </c>
      <c r="K128" s="5">
        <v>25</v>
      </c>
      <c r="L128" s="7">
        <v>443</v>
      </c>
      <c r="M128" s="8">
        <f>call_center_data[[#This Row],[avg_ht]]/86400</f>
        <v>5.1273148148148146E-3</v>
      </c>
      <c r="N128" s="5">
        <v>67</v>
      </c>
      <c r="O128" s="5">
        <v>7</v>
      </c>
    </row>
    <row r="129" spans="2:15" x14ac:dyDescent="0.25">
      <c r="B129" s="5">
        <v>6</v>
      </c>
      <c r="C129" s="5" t="str">
        <f>_xlfn.XLOOKUP(call_center_data[[#This Row],[agent_id]],Table1[Agent ID],Table1[Full Name])</f>
        <v>Jane Hernandez</v>
      </c>
      <c r="D129" s="5" t="str">
        <f>_xlfn.XLOOKUP(call_center_data[[#This Row],[agent_id]],Table1[Agent ID],Table1[Supervisor])</f>
        <v>Lester De Mesa</v>
      </c>
      <c r="E129" s="6">
        <f>_xlfn.XLOOKUP(call_center_data[[#This Row],[agent_id]],Table1[Agent ID],Table1[Hire Date])</f>
        <v>44116</v>
      </c>
      <c r="F129" s="7">
        <f>DATEDIF(call_center_data[[#This Row],[Hire Date]],$Q$6,"M")</f>
        <v>8</v>
      </c>
      <c r="G129" s="6">
        <v>44356</v>
      </c>
      <c r="H129" s="6" t="str">
        <f>TEXT(call_center_data[[#This Row],[date]],"DDD")</f>
        <v>Wed</v>
      </c>
      <c r="I129" s="5">
        <v>2</v>
      </c>
      <c r="J129" s="5" t="str">
        <f>_xlfn.XLOOKUP(call_center_data[[#This Row],[product_id]],Table2[Product_ID],Table2[Product_Name])</f>
        <v>Car Loan</v>
      </c>
      <c r="K129" s="5">
        <v>18</v>
      </c>
      <c r="L129" s="7">
        <v>146</v>
      </c>
      <c r="M129" s="8">
        <f>call_center_data[[#This Row],[avg_ht]]/86400</f>
        <v>1.6898148148148148E-3</v>
      </c>
      <c r="N129" s="5">
        <v>74</v>
      </c>
      <c r="O129" s="5">
        <v>6</v>
      </c>
    </row>
    <row r="130" spans="2:15" x14ac:dyDescent="0.25">
      <c r="B130" s="5">
        <v>9</v>
      </c>
      <c r="C130" s="5" t="str">
        <f>_xlfn.XLOOKUP(call_center_data[[#This Row],[agent_id]],Table1[Agent ID],Table1[Full Name])</f>
        <v>Cherry Castillo</v>
      </c>
      <c r="D130" s="5" t="str">
        <f>_xlfn.XLOOKUP(call_center_data[[#This Row],[agent_id]],Table1[Agent ID],Table1[Supervisor])</f>
        <v>Lester De Mesa</v>
      </c>
      <c r="E130" s="6">
        <f>_xlfn.XLOOKUP(call_center_data[[#This Row],[agent_id]],Table1[Agent ID],Table1[Hire Date])</f>
        <v>44226</v>
      </c>
      <c r="F130" s="7">
        <f>DATEDIF(call_center_data[[#This Row],[Hire Date]],$Q$6,"M")</f>
        <v>5</v>
      </c>
      <c r="G130" s="6">
        <v>44362</v>
      </c>
      <c r="H130" s="6" t="str">
        <f>TEXT(call_center_data[[#This Row],[date]],"DDD")</f>
        <v>Tue</v>
      </c>
      <c r="I130" s="5">
        <v>2</v>
      </c>
      <c r="J130" s="5" t="str">
        <f>_xlfn.XLOOKUP(call_center_data[[#This Row],[product_id]],Table2[Product_ID],Table2[Product_Name])</f>
        <v>Car Loan</v>
      </c>
      <c r="K130" s="5">
        <v>36</v>
      </c>
      <c r="L130" s="7">
        <v>326</v>
      </c>
      <c r="M130" s="8">
        <f>call_center_data[[#This Row],[avg_ht]]/86400</f>
        <v>3.7731481481481483E-3</v>
      </c>
      <c r="N130" s="5">
        <v>44</v>
      </c>
      <c r="O130" s="5">
        <v>9</v>
      </c>
    </row>
    <row r="131" spans="2:15" x14ac:dyDescent="0.25">
      <c r="B131" s="5">
        <v>2</v>
      </c>
      <c r="C131" s="5" t="str">
        <f>_xlfn.XLOOKUP(call_center_data[[#This Row],[agent_id]],Table1[Agent ID],Table1[Full Name])</f>
        <v>Josh Vega</v>
      </c>
      <c r="D131" s="5" t="str">
        <f>_xlfn.XLOOKUP(call_center_data[[#This Row],[agent_id]],Table1[Agent ID],Table1[Supervisor])</f>
        <v>Carol Mario</v>
      </c>
      <c r="E131" s="6">
        <f>_xlfn.XLOOKUP(call_center_data[[#This Row],[agent_id]],Table1[Agent ID],Table1[Hire Date])</f>
        <v>43687</v>
      </c>
      <c r="F131" s="7">
        <f>DATEDIF(call_center_data[[#This Row],[Hire Date]],$Q$6,"M")</f>
        <v>22</v>
      </c>
      <c r="G131" s="6">
        <v>44365</v>
      </c>
      <c r="H131" s="6" t="str">
        <f>TEXT(call_center_data[[#This Row],[date]],"DDD")</f>
        <v>Fri</v>
      </c>
      <c r="I131" s="5">
        <v>1</v>
      </c>
      <c r="J131" s="5" t="str">
        <f>_xlfn.XLOOKUP(call_center_data[[#This Row],[product_id]],Table2[Product_ID],Table2[Product_Name])</f>
        <v>Personal Loan</v>
      </c>
      <c r="K131" s="5">
        <v>24</v>
      </c>
      <c r="L131" s="7">
        <v>436</v>
      </c>
      <c r="M131" s="8">
        <f>call_center_data[[#This Row],[avg_ht]]/86400</f>
        <v>5.0462962962962961E-3</v>
      </c>
      <c r="N131" s="5">
        <v>32</v>
      </c>
      <c r="O131" s="5">
        <v>8</v>
      </c>
    </row>
    <row r="132" spans="2:15" x14ac:dyDescent="0.25">
      <c r="B132" s="5">
        <v>1</v>
      </c>
      <c r="C132" s="5" t="str">
        <f>_xlfn.XLOOKUP(call_center_data[[#This Row],[agent_id]],Table1[Agent ID],Table1[Full Name])</f>
        <v>Lisa Diaz</v>
      </c>
      <c r="D132" s="5" t="str">
        <f>_xlfn.XLOOKUP(call_center_data[[#This Row],[agent_id]],Table1[Agent ID],Table1[Supervisor])</f>
        <v>Carol Mario</v>
      </c>
      <c r="E132" s="6">
        <f>_xlfn.XLOOKUP(call_center_data[[#This Row],[agent_id]],Table1[Agent ID],Table1[Hire Date])</f>
        <v>43625</v>
      </c>
      <c r="F132" s="7">
        <f>DATEDIF(call_center_data[[#This Row],[Hire Date]],$Q$6,"M")</f>
        <v>24</v>
      </c>
      <c r="G132" s="6">
        <v>44371</v>
      </c>
      <c r="H132" s="6" t="str">
        <f>TEXT(call_center_data[[#This Row],[date]],"DDD")</f>
        <v>Thu</v>
      </c>
      <c r="I132" s="5">
        <v>3</v>
      </c>
      <c r="J132" s="5" t="str">
        <f>_xlfn.XLOOKUP(call_center_data[[#This Row],[product_id]],Table2[Product_ID],Table2[Product_Name])</f>
        <v>Property Loan</v>
      </c>
      <c r="K132" s="5">
        <v>10</v>
      </c>
      <c r="L132" s="7">
        <v>1456</v>
      </c>
      <c r="M132" s="8">
        <f>call_center_data[[#This Row],[avg_ht]]/86400</f>
        <v>1.6851851851851851E-2</v>
      </c>
      <c r="N132" s="5">
        <v>19</v>
      </c>
      <c r="O132" s="5">
        <v>9</v>
      </c>
    </row>
    <row r="133" spans="2:15" x14ac:dyDescent="0.25">
      <c r="B133" s="5">
        <v>10</v>
      </c>
      <c r="C133" s="5" t="str">
        <f>_xlfn.XLOOKUP(call_center_data[[#This Row],[agent_id]],Table1[Agent ID],Table1[Full Name])</f>
        <v>Mark Ventura</v>
      </c>
      <c r="D133" s="5" t="str">
        <f>_xlfn.XLOOKUP(call_center_data[[#This Row],[agent_id]],Table1[Agent ID],Table1[Supervisor])</f>
        <v>Lester De Mesa</v>
      </c>
      <c r="E133" s="6">
        <f>_xlfn.XLOOKUP(call_center_data[[#This Row],[agent_id]],Table1[Agent ID],Table1[Hire Date])</f>
        <v>44238</v>
      </c>
      <c r="F133" s="7">
        <f>DATEDIF(call_center_data[[#This Row],[Hire Date]],$Q$6,"M")</f>
        <v>4</v>
      </c>
      <c r="G133" s="6">
        <v>44359</v>
      </c>
      <c r="H133" s="6" t="str">
        <f>TEXT(call_center_data[[#This Row],[date]],"DDD")</f>
        <v>Sat</v>
      </c>
      <c r="I133" s="5">
        <v>3</v>
      </c>
      <c r="J133" s="5" t="str">
        <f>_xlfn.XLOOKUP(call_center_data[[#This Row],[product_id]],Table2[Product_ID],Table2[Product_Name])</f>
        <v>Property Loan</v>
      </c>
      <c r="K133" s="5">
        <v>36</v>
      </c>
      <c r="L133" s="7">
        <v>362</v>
      </c>
      <c r="M133" s="8">
        <f>call_center_data[[#This Row],[avg_ht]]/86400</f>
        <v>4.1898148148148146E-3</v>
      </c>
      <c r="N133" s="5">
        <v>38</v>
      </c>
      <c r="O133" s="5">
        <v>8</v>
      </c>
    </row>
    <row r="134" spans="2:15" x14ac:dyDescent="0.25">
      <c r="B134" s="5">
        <v>7</v>
      </c>
      <c r="C134" s="5" t="str">
        <f>_xlfn.XLOOKUP(call_center_data[[#This Row],[agent_id]],Table1[Agent ID],Table1[Full Name])</f>
        <v>Peter Rivera</v>
      </c>
      <c r="D134" s="5" t="str">
        <f>_xlfn.XLOOKUP(call_center_data[[#This Row],[agent_id]],Table1[Agent ID],Table1[Supervisor])</f>
        <v>Carol Mario</v>
      </c>
      <c r="E134" s="6">
        <f>_xlfn.XLOOKUP(call_center_data[[#This Row],[agent_id]],Table1[Agent ID],Table1[Hire Date])</f>
        <v>44170</v>
      </c>
      <c r="F134" s="7">
        <f>DATEDIF(call_center_data[[#This Row],[Hire Date]],$Q$6,"M")</f>
        <v>6</v>
      </c>
      <c r="G134" s="6">
        <v>44365</v>
      </c>
      <c r="H134" s="6" t="str">
        <f>TEXT(call_center_data[[#This Row],[date]],"DDD")</f>
        <v>Fri</v>
      </c>
      <c r="I134" s="5">
        <v>3</v>
      </c>
      <c r="J134" s="5" t="str">
        <f>_xlfn.XLOOKUP(call_center_data[[#This Row],[product_id]],Table2[Product_ID],Table2[Product_Name])</f>
        <v>Property Loan</v>
      </c>
      <c r="K134" s="5">
        <v>30</v>
      </c>
      <c r="L134" s="7">
        <v>370</v>
      </c>
      <c r="M134" s="8">
        <f>call_center_data[[#This Row],[avg_ht]]/86400</f>
        <v>4.2824074074074075E-3</v>
      </c>
      <c r="N134" s="5">
        <v>43</v>
      </c>
      <c r="O134" s="5">
        <v>8</v>
      </c>
    </row>
    <row r="135" spans="2:15" x14ac:dyDescent="0.25">
      <c r="B135" s="5">
        <v>3</v>
      </c>
      <c r="C135" s="5" t="str">
        <f>_xlfn.XLOOKUP(call_center_data[[#This Row],[agent_id]],Table1[Agent ID],Table1[Full Name])</f>
        <v>Cecille Chen</v>
      </c>
      <c r="D135" s="5" t="str">
        <f>_xlfn.XLOOKUP(call_center_data[[#This Row],[agent_id]],Table1[Agent ID],Table1[Supervisor])</f>
        <v>Lester De Mesa</v>
      </c>
      <c r="E135" s="6">
        <f>_xlfn.XLOOKUP(call_center_data[[#This Row],[agent_id]],Table1[Agent ID],Table1[Hire Date])</f>
        <v>43727</v>
      </c>
      <c r="F135" s="7">
        <f>DATEDIF(call_center_data[[#This Row],[Hire Date]],$Q$6,"M")</f>
        <v>21</v>
      </c>
      <c r="G135" s="6">
        <v>44349</v>
      </c>
      <c r="H135" s="6" t="str">
        <f>TEXT(call_center_data[[#This Row],[date]],"DDD")</f>
        <v>Wed</v>
      </c>
      <c r="I135" s="5">
        <v>1</v>
      </c>
      <c r="J135" s="5" t="str">
        <f>_xlfn.XLOOKUP(call_center_data[[#This Row],[product_id]],Table2[Product_ID],Table2[Product_Name])</f>
        <v>Personal Loan</v>
      </c>
      <c r="K135" s="5">
        <v>14</v>
      </c>
      <c r="L135" s="7">
        <v>1777</v>
      </c>
      <c r="M135" s="8">
        <f>call_center_data[[#This Row],[avg_ht]]/86400</f>
        <v>2.056712962962963E-2</v>
      </c>
      <c r="N135" s="5">
        <v>74</v>
      </c>
      <c r="O135" s="5">
        <v>6</v>
      </c>
    </row>
    <row r="136" spans="2:15" x14ac:dyDescent="0.25">
      <c r="B136" s="5">
        <v>3</v>
      </c>
      <c r="C136" s="5" t="str">
        <f>_xlfn.XLOOKUP(call_center_data[[#This Row],[agent_id]],Table1[Agent ID],Table1[Full Name])</f>
        <v>Cecille Chen</v>
      </c>
      <c r="D136" s="5" t="str">
        <f>_xlfn.XLOOKUP(call_center_data[[#This Row],[agent_id]],Table1[Agent ID],Table1[Supervisor])</f>
        <v>Lester De Mesa</v>
      </c>
      <c r="E136" s="6">
        <f>_xlfn.XLOOKUP(call_center_data[[#This Row],[agent_id]],Table1[Agent ID],Table1[Hire Date])</f>
        <v>43727</v>
      </c>
      <c r="F136" s="7">
        <f>DATEDIF(call_center_data[[#This Row],[Hire Date]],$Q$6,"M")</f>
        <v>21</v>
      </c>
      <c r="G136" s="6">
        <v>44369</v>
      </c>
      <c r="H136" s="6" t="str">
        <f>TEXT(call_center_data[[#This Row],[date]],"DDD")</f>
        <v>Tue</v>
      </c>
      <c r="I136" s="5">
        <v>3</v>
      </c>
      <c r="J136" s="5" t="str">
        <f>_xlfn.XLOOKUP(call_center_data[[#This Row],[product_id]],Table2[Product_ID],Table2[Product_Name])</f>
        <v>Property Loan</v>
      </c>
      <c r="K136" s="5">
        <v>17</v>
      </c>
      <c r="L136" s="7">
        <v>457</v>
      </c>
      <c r="M136" s="8">
        <f>call_center_data[[#This Row],[avg_ht]]/86400</f>
        <v>5.2893518518518515E-3</v>
      </c>
      <c r="N136" s="5">
        <v>35</v>
      </c>
      <c r="O136" s="5">
        <v>9</v>
      </c>
    </row>
    <row r="137" spans="2:15" x14ac:dyDescent="0.25">
      <c r="B137" s="5">
        <v>4</v>
      </c>
      <c r="C137" s="5" t="str">
        <f>_xlfn.XLOOKUP(call_center_data[[#This Row],[agent_id]],Table1[Agent ID],Table1[Full Name])</f>
        <v>Jay Alvarez</v>
      </c>
      <c r="D137" s="5" t="str">
        <f>_xlfn.XLOOKUP(call_center_data[[#This Row],[agent_id]],Table1[Agent ID],Table1[Supervisor])</f>
        <v>Carol Mario</v>
      </c>
      <c r="E137" s="6">
        <f>_xlfn.XLOOKUP(call_center_data[[#This Row],[agent_id]],Table1[Agent ID],Table1[Hire Date])</f>
        <v>43871</v>
      </c>
      <c r="F137" s="7">
        <f>DATEDIF(call_center_data[[#This Row],[Hire Date]],$Q$6,"M")</f>
        <v>16</v>
      </c>
      <c r="G137" s="6">
        <v>44348</v>
      </c>
      <c r="H137" s="6" t="str">
        <f>TEXT(call_center_data[[#This Row],[date]],"DDD")</f>
        <v>Tue</v>
      </c>
      <c r="I137" s="5">
        <v>1</v>
      </c>
      <c r="J137" s="5" t="str">
        <f>_xlfn.XLOOKUP(call_center_data[[#This Row],[product_id]],Table2[Product_ID],Table2[Product_Name])</f>
        <v>Personal Loan</v>
      </c>
      <c r="K137" s="5">
        <v>8</v>
      </c>
      <c r="L137" s="7">
        <v>381</v>
      </c>
      <c r="M137" s="8">
        <f>call_center_data[[#This Row],[avg_ht]]/86400</f>
        <v>4.409722222222222E-3</v>
      </c>
      <c r="N137" s="5">
        <v>18</v>
      </c>
      <c r="O137" s="5">
        <v>9</v>
      </c>
    </row>
    <row r="138" spans="2:15" x14ac:dyDescent="0.25">
      <c r="B138" s="5">
        <v>7</v>
      </c>
      <c r="C138" s="5" t="str">
        <f>_xlfn.XLOOKUP(call_center_data[[#This Row],[agent_id]],Table1[Agent ID],Table1[Full Name])</f>
        <v>Peter Rivera</v>
      </c>
      <c r="D138" s="5" t="str">
        <f>_xlfn.XLOOKUP(call_center_data[[#This Row],[agent_id]],Table1[Agent ID],Table1[Supervisor])</f>
        <v>Carol Mario</v>
      </c>
      <c r="E138" s="6">
        <f>_xlfn.XLOOKUP(call_center_data[[#This Row],[agent_id]],Table1[Agent ID],Table1[Hire Date])</f>
        <v>44170</v>
      </c>
      <c r="F138" s="7">
        <f>DATEDIF(call_center_data[[#This Row],[Hire Date]],$Q$6,"M")</f>
        <v>6</v>
      </c>
      <c r="G138" s="6">
        <v>44363</v>
      </c>
      <c r="H138" s="6" t="str">
        <f>TEXT(call_center_data[[#This Row],[date]],"DDD")</f>
        <v>Wed</v>
      </c>
      <c r="I138" s="5">
        <v>1</v>
      </c>
      <c r="J138" s="5" t="str">
        <f>_xlfn.XLOOKUP(call_center_data[[#This Row],[product_id]],Table2[Product_ID],Table2[Product_Name])</f>
        <v>Personal Loan</v>
      </c>
      <c r="K138" s="5">
        <v>25</v>
      </c>
      <c r="L138" s="7">
        <v>119</v>
      </c>
      <c r="M138" s="8">
        <f>call_center_data[[#This Row],[avg_ht]]/86400</f>
        <v>1.3773148148148147E-3</v>
      </c>
      <c r="N138" s="5">
        <v>29</v>
      </c>
      <c r="O138" s="5">
        <v>9</v>
      </c>
    </row>
    <row r="139" spans="2:15" x14ac:dyDescent="0.25">
      <c r="B139" s="5">
        <v>3</v>
      </c>
      <c r="C139" s="5" t="str">
        <f>_xlfn.XLOOKUP(call_center_data[[#This Row],[agent_id]],Table1[Agent ID],Table1[Full Name])</f>
        <v>Cecille Chen</v>
      </c>
      <c r="D139" s="5" t="str">
        <f>_xlfn.XLOOKUP(call_center_data[[#This Row],[agent_id]],Table1[Agent ID],Table1[Supervisor])</f>
        <v>Lester De Mesa</v>
      </c>
      <c r="E139" s="6">
        <f>_xlfn.XLOOKUP(call_center_data[[#This Row],[agent_id]],Table1[Agent ID],Table1[Hire Date])</f>
        <v>43727</v>
      </c>
      <c r="F139" s="7">
        <f>DATEDIF(call_center_data[[#This Row],[Hire Date]],$Q$6,"M")</f>
        <v>21</v>
      </c>
      <c r="G139" s="6">
        <v>44352</v>
      </c>
      <c r="H139" s="6" t="str">
        <f>TEXT(call_center_data[[#This Row],[date]],"DDD")</f>
        <v>Sat</v>
      </c>
      <c r="I139" s="5">
        <v>1</v>
      </c>
      <c r="J139" s="5" t="str">
        <f>_xlfn.XLOOKUP(call_center_data[[#This Row],[product_id]],Table2[Product_ID],Table2[Product_Name])</f>
        <v>Personal Loan</v>
      </c>
      <c r="K139" s="5">
        <v>27</v>
      </c>
      <c r="L139" s="7">
        <v>1639</v>
      </c>
      <c r="M139" s="8">
        <f>call_center_data[[#This Row],[avg_ht]]/86400</f>
        <v>1.8969907407407408E-2</v>
      </c>
      <c r="N139" s="5">
        <v>56</v>
      </c>
      <c r="O139" s="5">
        <v>7</v>
      </c>
    </row>
    <row r="140" spans="2:15" x14ac:dyDescent="0.25">
      <c r="B140" s="5">
        <v>10</v>
      </c>
      <c r="C140" s="5" t="str">
        <f>_xlfn.XLOOKUP(call_center_data[[#This Row],[agent_id]],Table1[Agent ID],Table1[Full Name])</f>
        <v>Mark Ventura</v>
      </c>
      <c r="D140" s="5" t="str">
        <f>_xlfn.XLOOKUP(call_center_data[[#This Row],[agent_id]],Table1[Agent ID],Table1[Supervisor])</f>
        <v>Lester De Mesa</v>
      </c>
      <c r="E140" s="6">
        <f>_xlfn.XLOOKUP(call_center_data[[#This Row],[agent_id]],Table1[Agent ID],Table1[Hire Date])</f>
        <v>44238</v>
      </c>
      <c r="F140" s="7">
        <f>DATEDIF(call_center_data[[#This Row],[Hire Date]],$Q$6,"M")</f>
        <v>4</v>
      </c>
      <c r="G140" s="6">
        <v>44372</v>
      </c>
      <c r="H140" s="6" t="str">
        <f>TEXT(call_center_data[[#This Row],[date]],"DDD")</f>
        <v>Fri</v>
      </c>
      <c r="I140" s="5">
        <v>1</v>
      </c>
      <c r="J140" s="5" t="str">
        <f>_xlfn.XLOOKUP(call_center_data[[#This Row],[product_id]],Table2[Product_ID],Table2[Product_Name])</f>
        <v>Personal Loan</v>
      </c>
      <c r="K140" s="5">
        <v>27</v>
      </c>
      <c r="L140" s="7">
        <v>901</v>
      </c>
      <c r="M140" s="8">
        <f>call_center_data[[#This Row],[avg_ht]]/86400</f>
        <v>1.0428240740740741E-2</v>
      </c>
      <c r="N140" s="5">
        <v>44</v>
      </c>
      <c r="O140" s="5">
        <v>8</v>
      </c>
    </row>
    <row r="141" spans="2:15" x14ac:dyDescent="0.25">
      <c r="B141" s="5">
        <v>6</v>
      </c>
      <c r="C141" s="5" t="str">
        <f>_xlfn.XLOOKUP(call_center_data[[#This Row],[agent_id]],Table1[Agent ID],Table1[Full Name])</f>
        <v>Jane Hernandez</v>
      </c>
      <c r="D141" s="5" t="str">
        <f>_xlfn.XLOOKUP(call_center_data[[#This Row],[agent_id]],Table1[Agent ID],Table1[Supervisor])</f>
        <v>Lester De Mesa</v>
      </c>
      <c r="E141" s="6">
        <f>_xlfn.XLOOKUP(call_center_data[[#This Row],[agent_id]],Table1[Agent ID],Table1[Hire Date])</f>
        <v>44116</v>
      </c>
      <c r="F141" s="7">
        <f>DATEDIF(call_center_data[[#This Row],[Hire Date]],$Q$6,"M")</f>
        <v>8</v>
      </c>
      <c r="G141" s="6">
        <v>44360</v>
      </c>
      <c r="H141" s="6" t="str">
        <f>TEXT(call_center_data[[#This Row],[date]],"DDD")</f>
        <v>Sun</v>
      </c>
      <c r="I141" s="5">
        <v>3</v>
      </c>
      <c r="J141" s="5" t="str">
        <f>_xlfn.XLOOKUP(call_center_data[[#This Row],[product_id]],Table2[Product_ID],Table2[Product_Name])</f>
        <v>Property Loan</v>
      </c>
      <c r="K141" s="5">
        <v>19</v>
      </c>
      <c r="L141" s="7">
        <v>402</v>
      </c>
      <c r="M141" s="8">
        <f>call_center_data[[#This Row],[avg_ht]]/86400</f>
        <v>4.6527777777777774E-3</v>
      </c>
      <c r="N141" s="5">
        <v>30</v>
      </c>
      <c r="O141" s="5">
        <v>10</v>
      </c>
    </row>
    <row r="142" spans="2:15" x14ac:dyDescent="0.25">
      <c r="B142" s="5">
        <v>7</v>
      </c>
      <c r="C142" s="5" t="str">
        <f>_xlfn.XLOOKUP(call_center_data[[#This Row],[agent_id]],Table1[Agent ID],Table1[Full Name])</f>
        <v>Peter Rivera</v>
      </c>
      <c r="D142" s="5" t="str">
        <f>_xlfn.XLOOKUP(call_center_data[[#This Row],[agent_id]],Table1[Agent ID],Table1[Supervisor])</f>
        <v>Carol Mario</v>
      </c>
      <c r="E142" s="6">
        <f>_xlfn.XLOOKUP(call_center_data[[#This Row],[agent_id]],Table1[Agent ID],Table1[Hire Date])</f>
        <v>44170</v>
      </c>
      <c r="F142" s="7">
        <f>DATEDIF(call_center_data[[#This Row],[Hire Date]],$Q$6,"M")</f>
        <v>6</v>
      </c>
      <c r="G142" s="6">
        <v>44367</v>
      </c>
      <c r="H142" s="6" t="str">
        <f>TEXT(call_center_data[[#This Row],[date]],"DDD")</f>
        <v>Sun</v>
      </c>
      <c r="I142" s="5">
        <v>2</v>
      </c>
      <c r="J142" s="5" t="str">
        <f>_xlfn.XLOOKUP(call_center_data[[#This Row],[product_id]],Table2[Product_ID],Table2[Product_Name])</f>
        <v>Car Loan</v>
      </c>
      <c r="K142" s="5">
        <v>28</v>
      </c>
      <c r="L142" s="7">
        <v>394</v>
      </c>
      <c r="M142" s="8">
        <f>call_center_data[[#This Row],[avg_ht]]/86400</f>
        <v>4.5601851851851853E-3</v>
      </c>
      <c r="N142" s="5">
        <v>25</v>
      </c>
      <c r="O142" s="5">
        <v>8</v>
      </c>
    </row>
    <row r="143" spans="2:15" x14ac:dyDescent="0.25">
      <c r="B143" s="5">
        <v>1</v>
      </c>
      <c r="C143" s="5" t="str">
        <f>_xlfn.XLOOKUP(call_center_data[[#This Row],[agent_id]],Table1[Agent ID],Table1[Full Name])</f>
        <v>Lisa Diaz</v>
      </c>
      <c r="D143" s="5" t="str">
        <f>_xlfn.XLOOKUP(call_center_data[[#This Row],[agent_id]],Table1[Agent ID],Table1[Supervisor])</f>
        <v>Carol Mario</v>
      </c>
      <c r="E143" s="6">
        <f>_xlfn.XLOOKUP(call_center_data[[#This Row],[agent_id]],Table1[Agent ID],Table1[Hire Date])</f>
        <v>43625</v>
      </c>
      <c r="F143" s="7">
        <f>DATEDIF(call_center_data[[#This Row],[Hire Date]],$Q$6,"M")</f>
        <v>24</v>
      </c>
      <c r="G143" s="6">
        <v>44360</v>
      </c>
      <c r="H143" s="6" t="str">
        <f>TEXT(call_center_data[[#This Row],[date]],"DDD")</f>
        <v>Sun</v>
      </c>
      <c r="I143" s="5">
        <v>1</v>
      </c>
      <c r="J143" s="5" t="str">
        <f>_xlfn.XLOOKUP(call_center_data[[#This Row],[product_id]],Table2[Product_ID],Table2[Product_Name])</f>
        <v>Personal Loan</v>
      </c>
      <c r="K143" s="5">
        <v>4</v>
      </c>
      <c r="L143" s="7">
        <v>1839</v>
      </c>
      <c r="M143" s="8">
        <f>call_center_data[[#This Row],[avg_ht]]/86400</f>
        <v>2.1284722222222222E-2</v>
      </c>
      <c r="N143" s="5">
        <v>32</v>
      </c>
      <c r="O143" s="5">
        <v>9</v>
      </c>
    </row>
    <row r="144" spans="2:15" x14ac:dyDescent="0.25">
      <c r="B144" s="5">
        <v>1</v>
      </c>
      <c r="C144" s="5" t="str">
        <f>_xlfn.XLOOKUP(call_center_data[[#This Row],[agent_id]],Table1[Agent ID],Table1[Full Name])</f>
        <v>Lisa Diaz</v>
      </c>
      <c r="D144" s="5" t="str">
        <f>_xlfn.XLOOKUP(call_center_data[[#This Row],[agent_id]],Table1[Agent ID],Table1[Supervisor])</f>
        <v>Carol Mario</v>
      </c>
      <c r="E144" s="6">
        <f>_xlfn.XLOOKUP(call_center_data[[#This Row],[agent_id]],Table1[Agent ID],Table1[Hire Date])</f>
        <v>43625</v>
      </c>
      <c r="F144" s="7">
        <f>DATEDIF(call_center_data[[#This Row],[Hire Date]],$Q$6,"M")</f>
        <v>24</v>
      </c>
      <c r="G144" s="6">
        <v>44359</v>
      </c>
      <c r="H144" s="6" t="str">
        <f>TEXT(call_center_data[[#This Row],[date]],"DDD")</f>
        <v>Sat</v>
      </c>
      <c r="I144" s="5">
        <v>3</v>
      </c>
      <c r="J144" s="5" t="str">
        <f>_xlfn.XLOOKUP(call_center_data[[#This Row],[product_id]],Table2[Product_ID],Table2[Product_Name])</f>
        <v>Property Loan</v>
      </c>
      <c r="K144" s="5">
        <v>30</v>
      </c>
      <c r="L144" s="7">
        <v>1422</v>
      </c>
      <c r="M144" s="8">
        <f>call_center_data[[#This Row],[avg_ht]]/86400</f>
        <v>1.6458333333333332E-2</v>
      </c>
      <c r="N144" s="5">
        <v>79</v>
      </c>
      <c r="O144" s="5">
        <v>5</v>
      </c>
    </row>
    <row r="145" spans="2:15" x14ac:dyDescent="0.25">
      <c r="B145" s="5">
        <v>2</v>
      </c>
      <c r="C145" s="5" t="str">
        <f>_xlfn.XLOOKUP(call_center_data[[#This Row],[agent_id]],Table1[Agent ID],Table1[Full Name])</f>
        <v>Josh Vega</v>
      </c>
      <c r="D145" s="5" t="str">
        <f>_xlfn.XLOOKUP(call_center_data[[#This Row],[agent_id]],Table1[Agent ID],Table1[Supervisor])</f>
        <v>Carol Mario</v>
      </c>
      <c r="E145" s="6">
        <f>_xlfn.XLOOKUP(call_center_data[[#This Row],[agent_id]],Table1[Agent ID],Table1[Hire Date])</f>
        <v>43687</v>
      </c>
      <c r="F145" s="7">
        <f>DATEDIF(call_center_data[[#This Row],[Hire Date]],$Q$6,"M")</f>
        <v>22</v>
      </c>
      <c r="G145" s="6">
        <v>44357</v>
      </c>
      <c r="H145" s="6" t="str">
        <f>TEXT(call_center_data[[#This Row],[date]],"DDD")</f>
        <v>Thu</v>
      </c>
      <c r="I145" s="5">
        <v>2</v>
      </c>
      <c r="J145" s="5" t="str">
        <f>_xlfn.XLOOKUP(call_center_data[[#This Row],[product_id]],Table2[Product_ID],Table2[Product_Name])</f>
        <v>Car Loan</v>
      </c>
      <c r="K145" s="5">
        <v>5</v>
      </c>
      <c r="L145" s="7">
        <v>41</v>
      </c>
      <c r="M145" s="8">
        <f>call_center_data[[#This Row],[avg_ht]]/86400</f>
        <v>4.7453703703703704E-4</v>
      </c>
      <c r="N145" s="5">
        <v>24</v>
      </c>
      <c r="O145" s="5">
        <v>10</v>
      </c>
    </row>
    <row r="146" spans="2:15" x14ac:dyDescent="0.25">
      <c r="B146" s="5">
        <v>5</v>
      </c>
      <c r="C146" s="5" t="str">
        <f>_xlfn.XLOOKUP(call_center_data[[#This Row],[agent_id]],Table1[Agent ID],Table1[Full Name])</f>
        <v>Eric Molina</v>
      </c>
      <c r="D146" s="5" t="str">
        <f>_xlfn.XLOOKUP(call_center_data[[#This Row],[agent_id]],Table1[Agent ID],Table1[Supervisor])</f>
        <v>Lester De Mesa</v>
      </c>
      <c r="E146" s="6">
        <f>_xlfn.XLOOKUP(call_center_data[[#This Row],[agent_id]],Table1[Agent ID],Table1[Hire Date])</f>
        <v>43966</v>
      </c>
      <c r="F146" s="7">
        <f>DATEDIF(call_center_data[[#This Row],[Hire Date]],$Q$6,"M")</f>
        <v>13</v>
      </c>
      <c r="G146" s="6">
        <v>44353</v>
      </c>
      <c r="H146" s="6" t="str">
        <f>TEXT(call_center_data[[#This Row],[date]],"DDD")</f>
        <v>Sun</v>
      </c>
      <c r="I146" s="5">
        <v>1</v>
      </c>
      <c r="J146" s="5" t="str">
        <f>_xlfn.XLOOKUP(call_center_data[[#This Row],[product_id]],Table2[Product_ID],Table2[Product_Name])</f>
        <v>Personal Loan</v>
      </c>
      <c r="K146" s="5">
        <v>20</v>
      </c>
      <c r="L146" s="7">
        <v>1298</v>
      </c>
      <c r="M146" s="8">
        <f>call_center_data[[#This Row],[avg_ht]]/86400</f>
        <v>1.5023148148148148E-2</v>
      </c>
      <c r="N146" s="5">
        <v>17</v>
      </c>
      <c r="O146" s="5">
        <v>10</v>
      </c>
    </row>
    <row r="147" spans="2:15" x14ac:dyDescent="0.25">
      <c r="B147" s="5">
        <v>4</v>
      </c>
      <c r="C147" s="5" t="str">
        <f>_xlfn.XLOOKUP(call_center_data[[#This Row],[agent_id]],Table1[Agent ID],Table1[Full Name])</f>
        <v>Jay Alvarez</v>
      </c>
      <c r="D147" s="5" t="str">
        <f>_xlfn.XLOOKUP(call_center_data[[#This Row],[agent_id]],Table1[Agent ID],Table1[Supervisor])</f>
        <v>Carol Mario</v>
      </c>
      <c r="E147" s="6">
        <f>_xlfn.XLOOKUP(call_center_data[[#This Row],[agent_id]],Table1[Agent ID],Table1[Hire Date])</f>
        <v>43871</v>
      </c>
      <c r="F147" s="7">
        <f>DATEDIF(call_center_data[[#This Row],[Hire Date]],$Q$6,"M")</f>
        <v>16</v>
      </c>
      <c r="G147" s="6">
        <v>44373</v>
      </c>
      <c r="H147" s="6" t="str">
        <f>TEXT(call_center_data[[#This Row],[date]],"DDD")</f>
        <v>Sat</v>
      </c>
      <c r="I147" s="5">
        <v>2</v>
      </c>
      <c r="J147" s="5" t="str">
        <f>_xlfn.XLOOKUP(call_center_data[[#This Row],[product_id]],Table2[Product_ID],Table2[Product_Name])</f>
        <v>Car Loan</v>
      </c>
      <c r="K147" s="5">
        <v>30</v>
      </c>
      <c r="L147" s="7">
        <v>689</v>
      </c>
      <c r="M147" s="8">
        <f>call_center_data[[#This Row],[avg_ht]]/86400</f>
        <v>7.9745370370370369E-3</v>
      </c>
      <c r="N147" s="5">
        <v>90</v>
      </c>
      <c r="O147" s="5">
        <v>6</v>
      </c>
    </row>
    <row r="148" spans="2:15" x14ac:dyDescent="0.25">
      <c r="B148" s="5">
        <v>5</v>
      </c>
      <c r="C148" s="5" t="str">
        <f>_xlfn.XLOOKUP(call_center_data[[#This Row],[agent_id]],Table1[Agent ID],Table1[Full Name])</f>
        <v>Eric Molina</v>
      </c>
      <c r="D148" s="5" t="str">
        <f>_xlfn.XLOOKUP(call_center_data[[#This Row],[agent_id]],Table1[Agent ID],Table1[Supervisor])</f>
        <v>Lester De Mesa</v>
      </c>
      <c r="E148" s="6">
        <f>_xlfn.XLOOKUP(call_center_data[[#This Row],[agent_id]],Table1[Agent ID],Table1[Hire Date])</f>
        <v>43966</v>
      </c>
      <c r="F148" s="7">
        <f>DATEDIF(call_center_data[[#This Row],[Hire Date]],$Q$6,"M")</f>
        <v>13</v>
      </c>
      <c r="G148" s="6">
        <v>44355</v>
      </c>
      <c r="H148" s="6" t="str">
        <f>TEXT(call_center_data[[#This Row],[date]],"DDD")</f>
        <v>Tue</v>
      </c>
      <c r="I148" s="5">
        <v>3</v>
      </c>
      <c r="J148" s="5" t="str">
        <f>_xlfn.XLOOKUP(call_center_data[[#This Row],[product_id]],Table2[Product_ID],Table2[Product_Name])</f>
        <v>Property Loan</v>
      </c>
      <c r="K148" s="5">
        <v>24</v>
      </c>
      <c r="L148" s="7">
        <v>154</v>
      </c>
      <c r="M148" s="8">
        <f>call_center_data[[#This Row],[avg_ht]]/86400</f>
        <v>1.7824074074074075E-3</v>
      </c>
      <c r="N148" s="5">
        <v>33</v>
      </c>
      <c r="O148" s="5">
        <v>8</v>
      </c>
    </row>
    <row r="149" spans="2:15" x14ac:dyDescent="0.25">
      <c r="B149" s="5">
        <v>5</v>
      </c>
      <c r="C149" s="5" t="str">
        <f>_xlfn.XLOOKUP(call_center_data[[#This Row],[agent_id]],Table1[Agent ID],Table1[Full Name])</f>
        <v>Eric Molina</v>
      </c>
      <c r="D149" s="5" t="str">
        <f>_xlfn.XLOOKUP(call_center_data[[#This Row],[agent_id]],Table1[Agent ID],Table1[Supervisor])</f>
        <v>Lester De Mesa</v>
      </c>
      <c r="E149" s="6">
        <f>_xlfn.XLOOKUP(call_center_data[[#This Row],[agent_id]],Table1[Agent ID],Table1[Hire Date])</f>
        <v>43966</v>
      </c>
      <c r="F149" s="7">
        <f>DATEDIF(call_center_data[[#This Row],[Hire Date]],$Q$6,"M")</f>
        <v>13</v>
      </c>
      <c r="G149" s="6">
        <v>44366</v>
      </c>
      <c r="H149" s="6" t="str">
        <f>TEXT(call_center_data[[#This Row],[date]],"DDD")</f>
        <v>Sat</v>
      </c>
      <c r="I149" s="5">
        <v>2</v>
      </c>
      <c r="J149" s="5" t="str">
        <f>_xlfn.XLOOKUP(call_center_data[[#This Row],[product_id]],Table2[Product_ID],Table2[Product_Name])</f>
        <v>Car Loan</v>
      </c>
      <c r="K149" s="5">
        <v>22</v>
      </c>
      <c r="L149" s="7">
        <v>576</v>
      </c>
      <c r="M149" s="8">
        <f>call_center_data[[#This Row],[avg_ht]]/86400</f>
        <v>6.6666666666666671E-3</v>
      </c>
      <c r="N149" s="5">
        <v>52</v>
      </c>
      <c r="O149" s="5">
        <v>7</v>
      </c>
    </row>
    <row r="150" spans="2:15" x14ac:dyDescent="0.25">
      <c r="B150" s="5">
        <v>10</v>
      </c>
      <c r="C150" s="5" t="str">
        <f>_xlfn.XLOOKUP(call_center_data[[#This Row],[agent_id]],Table1[Agent ID],Table1[Full Name])</f>
        <v>Mark Ventura</v>
      </c>
      <c r="D150" s="5" t="str">
        <f>_xlfn.XLOOKUP(call_center_data[[#This Row],[agent_id]],Table1[Agent ID],Table1[Supervisor])</f>
        <v>Lester De Mesa</v>
      </c>
      <c r="E150" s="6">
        <f>_xlfn.XLOOKUP(call_center_data[[#This Row],[agent_id]],Table1[Agent ID],Table1[Hire Date])</f>
        <v>44238</v>
      </c>
      <c r="F150" s="7">
        <f>DATEDIF(call_center_data[[#This Row],[Hire Date]],$Q$6,"M")</f>
        <v>4</v>
      </c>
      <c r="G150" s="6">
        <v>44362</v>
      </c>
      <c r="H150" s="6" t="str">
        <f>TEXT(call_center_data[[#This Row],[date]],"DDD")</f>
        <v>Tue</v>
      </c>
      <c r="I150" s="5">
        <v>3</v>
      </c>
      <c r="J150" s="5" t="str">
        <f>_xlfn.XLOOKUP(call_center_data[[#This Row],[product_id]],Table2[Product_ID],Table2[Product_Name])</f>
        <v>Property Loan</v>
      </c>
      <c r="K150" s="5">
        <v>35</v>
      </c>
      <c r="L150" s="7">
        <v>441</v>
      </c>
      <c r="M150" s="8">
        <f>call_center_data[[#This Row],[avg_ht]]/86400</f>
        <v>5.1041666666666666E-3</v>
      </c>
      <c r="N150" s="5">
        <v>39</v>
      </c>
      <c r="O150" s="5">
        <v>8</v>
      </c>
    </row>
    <row r="151" spans="2:15" x14ac:dyDescent="0.25">
      <c r="B151" s="5">
        <v>6</v>
      </c>
      <c r="C151" s="5" t="str">
        <f>_xlfn.XLOOKUP(call_center_data[[#This Row],[agent_id]],Table1[Agent ID],Table1[Full Name])</f>
        <v>Jane Hernandez</v>
      </c>
      <c r="D151" s="5" t="str">
        <f>_xlfn.XLOOKUP(call_center_data[[#This Row],[agent_id]],Table1[Agent ID],Table1[Supervisor])</f>
        <v>Lester De Mesa</v>
      </c>
      <c r="E151" s="6">
        <f>_xlfn.XLOOKUP(call_center_data[[#This Row],[agent_id]],Table1[Agent ID],Table1[Hire Date])</f>
        <v>44116</v>
      </c>
      <c r="F151" s="7">
        <f>DATEDIF(call_center_data[[#This Row],[Hire Date]],$Q$6,"M")</f>
        <v>8</v>
      </c>
      <c r="G151" s="6">
        <v>44358</v>
      </c>
      <c r="H151" s="6" t="str">
        <f>TEXT(call_center_data[[#This Row],[date]],"DDD")</f>
        <v>Fri</v>
      </c>
      <c r="I151" s="5">
        <v>1</v>
      </c>
      <c r="J151" s="5" t="str">
        <f>_xlfn.XLOOKUP(call_center_data[[#This Row],[product_id]],Table2[Product_ID],Table2[Product_Name])</f>
        <v>Personal Loan</v>
      </c>
      <c r="K151" s="5">
        <v>20</v>
      </c>
      <c r="L151" s="7">
        <v>874</v>
      </c>
      <c r="M151" s="8">
        <f>call_center_data[[#This Row],[avg_ht]]/86400</f>
        <v>1.0115740740740741E-2</v>
      </c>
      <c r="N151" s="5">
        <v>75</v>
      </c>
      <c r="O151" s="5">
        <v>6</v>
      </c>
    </row>
    <row r="152" spans="2:15" x14ac:dyDescent="0.25">
      <c r="B152" s="5">
        <v>9</v>
      </c>
      <c r="C152" s="5" t="str">
        <f>_xlfn.XLOOKUP(call_center_data[[#This Row],[agent_id]],Table1[Agent ID],Table1[Full Name])</f>
        <v>Cherry Castillo</v>
      </c>
      <c r="D152" s="5" t="str">
        <f>_xlfn.XLOOKUP(call_center_data[[#This Row],[agent_id]],Table1[Agent ID],Table1[Supervisor])</f>
        <v>Lester De Mesa</v>
      </c>
      <c r="E152" s="6">
        <f>_xlfn.XLOOKUP(call_center_data[[#This Row],[agent_id]],Table1[Agent ID],Table1[Hire Date])</f>
        <v>44226</v>
      </c>
      <c r="F152" s="7">
        <f>DATEDIF(call_center_data[[#This Row],[Hire Date]],$Q$6,"M")</f>
        <v>5</v>
      </c>
      <c r="G152" s="6">
        <v>44348</v>
      </c>
      <c r="H152" s="6" t="str">
        <f>TEXT(call_center_data[[#This Row],[date]],"DDD")</f>
        <v>Tue</v>
      </c>
      <c r="I152" s="5">
        <v>3</v>
      </c>
      <c r="J152" s="5" t="str">
        <f>_xlfn.XLOOKUP(call_center_data[[#This Row],[product_id]],Table2[Product_ID],Table2[Product_Name])</f>
        <v>Property Loan</v>
      </c>
      <c r="K152" s="5">
        <v>37</v>
      </c>
      <c r="L152" s="7">
        <v>300</v>
      </c>
      <c r="M152" s="8">
        <f>call_center_data[[#This Row],[avg_ht]]/86400</f>
        <v>3.472222222222222E-3</v>
      </c>
      <c r="N152" s="5">
        <v>67</v>
      </c>
      <c r="O152" s="5">
        <v>7</v>
      </c>
    </row>
    <row r="153" spans="2:15" x14ac:dyDescent="0.25">
      <c r="B153" s="5">
        <v>1</v>
      </c>
      <c r="C153" s="5" t="str">
        <f>_xlfn.XLOOKUP(call_center_data[[#This Row],[agent_id]],Table1[Agent ID],Table1[Full Name])</f>
        <v>Lisa Diaz</v>
      </c>
      <c r="D153" s="5" t="str">
        <f>_xlfn.XLOOKUP(call_center_data[[#This Row],[agent_id]],Table1[Agent ID],Table1[Supervisor])</f>
        <v>Carol Mario</v>
      </c>
      <c r="E153" s="6">
        <f>_xlfn.XLOOKUP(call_center_data[[#This Row],[agent_id]],Table1[Agent ID],Table1[Hire Date])</f>
        <v>43625</v>
      </c>
      <c r="F153" s="7">
        <f>DATEDIF(call_center_data[[#This Row],[Hire Date]],$Q$6,"M")</f>
        <v>24</v>
      </c>
      <c r="G153" s="6">
        <v>44372</v>
      </c>
      <c r="H153" s="6" t="str">
        <f>TEXT(call_center_data[[#This Row],[date]],"DDD")</f>
        <v>Fri</v>
      </c>
      <c r="I153" s="5">
        <v>1</v>
      </c>
      <c r="J153" s="5" t="str">
        <f>_xlfn.XLOOKUP(call_center_data[[#This Row],[product_id]],Table2[Product_ID],Table2[Product_Name])</f>
        <v>Personal Loan</v>
      </c>
      <c r="K153" s="5">
        <v>23</v>
      </c>
      <c r="L153" s="7">
        <v>1054</v>
      </c>
      <c r="M153" s="8">
        <f>call_center_data[[#This Row],[avg_ht]]/86400</f>
        <v>1.2199074074074074E-2</v>
      </c>
      <c r="N153" s="5">
        <v>73</v>
      </c>
      <c r="O153" s="5">
        <v>5</v>
      </c>
    </row>
    <row r="154" spans="2:15" x14ac:dyDescent="0.25">
      <c r="B154" s="5">
        <v>3</v>
      </c>
      <c r="C154" s="5" t="str">
        <f>_xlfn.XLOOKUP(call_center_data[[#This Row],[agent_id]],Table1[Agent ID],Table1[Full Name])</f>
        <v>Cecille Chen</v>
      </c>
      <c r="D154" s="5" t="str">
        <f>_xlfn.XLOOKUP(call_center_data[[#This Row],[agent_id]],Table1[Agent ID],Table1[Supervisor])</f>
        <v>Lester De Mesa</v>
      </c>
      <c r="E154" s="6">
        <f>_xlfn.XLOOKUP(call_center_data[[#This Row],[agent_id]],Table1[Agent ID],Table1[Hire Date])</f>
        <v>43727</v>
      </c>
      <c r="F154" s="7">
        <f>DATEDIF(call_center_data[[#This Row],[Hire Date]],$Q$6,"M")</f>
        <v>21</v>
      </c>
      <c r="G154" s="6">
        <v>44348</v>
      </c>
      <c r="H154" s="6" t="str">
        <f>TEXT(call_center_data[[#This Row],[date]],"DDD")</f>
        <v>Tue</v>
      </c>
      <c r="I154" s="5">
        <v>3</v>
      </c>
      <c r="J154" s="5" t="str">
        <f>_xlfn.XLOOKUP(call_center_data[[#This Row],[product_id]],Table2[Product_ID],Table2[Product_Name])</f>
        <v>Property Loan</v>
      </c>
      <c r="K154" s="5">
        <v>17</v>
      </c>
      <c r="L154" s="7">
        <v>635</v>
      </c>
      <c r="M154" s="8">
        <f>call_center_data[[#This Row],[avg_ht]]/86400</f>
        <v>7.3495370370370372E-3</v>
      </c>
      <c r="N154" s="5">
        <v>54</v>
      </c>
      <c r="O154" s="5">
        <v>7</v>
      </c>
    </row>
    <row r="155" spans="2:15" x14ac:dyDescent="0.25">
      <c r="B155" s="5">
        <v>5</v>
      </c>
      <c r="C155" s="5" t="str">
        <f>_xlfn.XLOOKUP(call_center_data[[#This Row],[agent_id]],Table1[Agent ID],Table1[Full Name])</f>
        <v>Eric Molina</v>
      </c>
      <c r="D155" s="5" t="str">
        <f>_xlfn.XLOOKUP(call_center_data[[#This Row],[agent_id]],Table1[Agent ID],Table1[Supervisor])</f>
        <v>Lester De Mesa</v>
      </c>
      <c r="E155" s="6">
        <f>_xlfn.XLOOKUP(call_center_data[[#This Row],[agent_id]],Table1[Agent ID],Table1[Hire Date])</f>
        <v>43966</v>
      </c>
      <c r="F155" s="7">
        <f>DATEDIF(call_center_data[[#This Row],[Hire Date]],$Q$6,"M")</f>
        <v>13</v>
      </c>
      <c r="G155" s="6">
        <v>44357</v>
      </c>
      <c r="H155" s="6" t="str">
        <f>TEXT(call_center_data[[#This Row],[date]],"DDD")</f>
        <v>Thu</v>
      </c>
      <c r="I155" s="5">
        <v>2</v>
      </c>
      <c r="J155" s="5" t="str">
        <f>_xlfn.XLOOKUP(call_center_data[[#This Row],[product_id]],Table2[Product_ID],Table2[Product_Name])</f>
        <v>Car Loan</v>
      </c>
      <c r="K155" s="5">
        <v>23</v>
      </c>
      <c r="L155" s="7">
        <v>768</v>
      </c>
      <c r="M155" s="8">
        <f>call_center_data[[#This Row],[avg_ht]]/86400</f>
        <v>8.8888888888888889E-3</v>
      </c>
      <c r="N155" s="5">
        <v>83</v>
      </c>
      <c r="O155" s="5">
        <v>6</v>
      </c>
    </row>
    <row r="156" spans="2:15" x14ac:dyDescent="0.25">
      <c r="B156" s="5">
        <v>1</v>
      </c>
      <c r="C156" s="5" t="str">
        <f>_xlfn.XLOOKUP(call_center_data[[#This Row],[agent_id]],Table1[Agent ID],Table1[Full Name])</f>
        <v>Lisa Diaz</v>
      </c>
      <c r="D156" s="5" t="str">
        <f>_xlfn.XLOOKUP(call_center_data[[#This Row],[agent_id]],Table1[Agent ID],Table1[Supervisor])</f>
        <v>Carol Mario</v>
      </c>
      <c r="E156" s="6">
        <f>_xlfn.XLOOKUP(call_center_data[[#This Row],[agent_id]],Table1[Agent ID],Table1[Hire Date])</f>
        <v>43625</v>
      </c>
      <c r="F156" s="7">
        <f>DATEDIF(call_center_data[[#This Row],[Hire Date]],$Q$6,"M")</f>
        <v>24</v>
      </c>
      <c r="G156" s="6">
        <v>44368</v>
      </c>
      <c r="H156" s="6" t="str">
        <f>TEXT(call_center_data[[#This Row],[date]],"DDD")</f>
        <v>Mon</v>
      </c>
      <c r="I156" s="5">
        <v>3</v>
      </c>
      <c r="J156" s="5" t="str">
        <f>_xlfn.XLOOKUP(call_center_data[[#This Row],[product_id]],Table2[Product_ID],Table2[Product_Name])</f>
        <v>Property Loan</v>
      </c>
      <c r="K156" s="5">
        <v>8</v>
      </c>
      <c r="L156" s="7">
        <v>783</v>
      </c>
      <c r="M156" s="8">
        <f>call_center_data[[#This Row],[avg_ht]]/86400</f>
        <v>9.0624999999999994E-3</v>
      </c>
      <c r="N156" s="5">
        <v>31</v>
      </c>
      <c r="O156" s="5">
        <v>8</v>
      </c>
    </row>
    <row r="157" spans="2:15" x14ac:dyDescent="0.25">
      <c r="B157" s="5">
        <v>4</v>
      </c>
      <c r="C157" s="5" t="str">
        <f>_xlfn.XLOOKUP(call_center_data[[#This Row],[agent_id]],Table1[Agent ID],Table1[Full Name])</f>
        <v>Jay Alvarez</v>
      </c>
      <c r="D157" s="5" t="str">
        <f>_xlfn.XLOOKUP(call_center_data[[#This Row],[agent_id]],Table1[Agent ID],Table1[Supervisor])</f>
        <v>Carol Mario</v>
      </c>
      <c r="E157" s="6">
        <f>_xlfn.XLOOKUP(call_center_data[[#This Row],[agent_id]],Table1[Agent ID],Table1[Hire Date])</f>
        <v>43871</v>
      </c>
      <c r="F157" s="7">
        <f>DATEDIF(call_center_data[[#This Row],[Hire Date]],$Q$6,"M")</f>
        <v>16</v>
      </c>
      <c r="G157" s="6">
        <v>44371</v>
      </c>
      <c r="H157" s="6" t="str">
        <f>TEXT(call_center_data[[#This Row],[date]],"DDD")</f>
        <v>Thu</v>
      </c>
      <c r="I157" s="5">
        <v>3</v>
      </c>
      <c r="J157" s="5" t="str">
        <f>_xlfn.XLOOKUP(call_center_data[[#This Row],[product_id]],Table2[Product_ID],Table2[Product_Name])</f>
        <v>Property Loan</v>
      </c>
      <c r="K157" s="5">
        <v>14</v>
      </c>
      <c r="L157" s="7">
        <v>212</v>
      </c>
      <c r="M157" s="8">
        <f>call_center_data[[#This Row],[avg_ht]]/86400</f>
        <v>2.4537037037037036E-3</v>
      </c>
      <c r="N157" s="5">
        <v>31</v>
      </c>
      <c r="O157" s="5">
        <v>8</v>
      </c>
    </row>
    <row r="158" spans="2:15" x14ac:dyDescent="0.25">
      <c r="B158" s="5">
        <v>2</v>
      </c>
      <c r="C158" s="5" t="str">
        <f>_xlfn.XLOOKUP(call_center_data[[#This Row],[agent_id]],Table1[Agent ID],Table1[Full Name])</f>
        <v>Josh Vega</v>
      </c>
      <c r="D158" s="5" t="str">
        <f>_xlfn.XLOOKUP(call_center_data[[#This Row],[agent_id]],Table1[Agent ID],Table1[Supervisor])</f>
        <v>Carol Mario</v>
      </c>
      <c r="E158" s="6">
        <f>_xlfn.XLOOKUP(call_center_data[[#This Row],[agent_id]],Table1[Agent ID],Table1[Hire Date])</f>
        <v>43687</v>
      </c>
      <c r="F158" s="7">
        <f>DATEDIF(call_center_data[[#This Row],[Hire Date]],$Q$6,"M")</f>
        <v>22</v>
      </c>
      <c r="G158" s="6">
        <v>44373</v>
      </c>
      <c r="H158" s="6" t="str">
        <f>TEXT(call_center_data[[#This Row],[date]],"DDD")</f>
        <v>Sat</v>
      </c>
      <c r="I158" s="5">
        <v>3</v>
      </c>
      <c r="J158" s="5" t="str">
        <f>_xlfn.XLOOKUP(call_center_data[[#This Row],[product_id]],Table2[Product_ID],Table2[Product_Name])</f>
        <v>Property Loan</v>
      </c>
      <c r="K158" s="5">
        <v>22</v>
      </c>
      <c r="L158" s="7">
        <v>446</v>
      </c>
      <c r="M158" s="8">
        <f>call_center_data[[#This Row],[avg_ht]]/86400</f>
        <v>5.162037037037037E-3</v>
      </c>
      <c r="N158" s="5">
        <v>77</v>
      </c>
      <c r="O158" s="5">
        <v>6</v>
      </c>
    </row>
    <row r="159" spans="2:15" x14ac:dyDescent="0.25">
      <c r="B159" s="5">
        <v>4</v>
      </c>
      <c r="C159" s="5" t="str">
        <f>_xlfn.XLOOKUP(call_center_data[[#This Row],[agent_id]],Table1[Agent ID],Table1[Full Name])</f>
        <v>Jay Alvarez</v>
      </c>
      <c r="D159" s="5" t="str">
        <f>_xlfn.XLOOKUP(call_center_data[[#This Row],[agent_id]],Table1[Agent ID],Table1[Supervisor])</f>
        <v>Carol Mario</v>
      </c>
      <c r="E159" s="6">
        <f>_xlfn.XLOOKUP(call_center_data[[#This Row],[agent_id]],Table1[Agent ID],Table1[Hire Date])</f>
        <v>43871</v>
      </c>
      <c r="F159" s="7">
        <f>DATEDIF(call_center_data[[#This Row],[Hire Date]],$Q$6,"M")</f>
        <v>16</v>
      </c>
      <c r="G159" s="6">
        <v>44349</v>
      </c>
      <c r="H159" s="6" t="str">
        <f>TEXT(call_center_data[[#This Row],[date]],"DDD")</f>
        <v>Wed</v>
      </c>
      <c r="I159" s="5">
        <v>2</v>
      </c>
      <c r="J159" s="5" t="str">
        <f>_xlfn.XLOOKUP(call_center_data[[#This Row],[product_id]],Table2[Product_ID],Table2[Product_Name])</f>
        <v>Car Loan</v>
      </c>
      <c r="K159" s="5">
        <v>11</v>
      </c>
      <c r="L159" s="7">
        <v>179</v>
      </c>
      <c r="M159" s="8">
        <f>call_center_data[[#This Row],[avg_ht]]/86400</f>
        <v>2.0717592592592593E-3</v>
      </c>
      <c r="N159" s="5">
        <v>30</v>
      </c>
      <c r="O159" s="5">
        <v>8</v>
      </c>
    </row>
    <row r="160" spans="2:15" x14ac:dyDescent="0.25">
      <c r="B160" s="5">
        <v>3</v>
      </c>
      <c r="C160" s="5" t="str">
        <f>_xlfn.XLOOKUP(call_center_data[[#This Row],[agent_id]],Table1[Agent ID],Table1[Full Name])</f>
        <v>Cecille Chen</v>
      </c>
      <c r="D160" s="5" t="str">
        <f>_xlfn.XLOOKUP(call_center_data[[#This Row],[agent_id]],Table1[Agent ID],Table1[Supervisor])</f>
        <v>Lester De Mesa</v>
      </c>
      <c r="E160" s="6">
        <f>_xlfn.XLOOKUP(call_center_data[[#This Row],[agent_id]],Table1[Agent ID],Table1[Hire Date])</f>
        <v>43727</v>
      </c>
      <c r="F160" s="7">
        <f>DATEDIF(call_center_data[[#This Row],[Hire Date]],$Q$6,"M")</f>
        <v>21</v>
      </c>
      <c r="G160" s="6">
        <v>44374</v>
      </c>
      <c r="H160" s="6" t="str">
        <f>TEXT(call_center_data[[#This Row],[date]],"DDD")</f>
        <v>Sun</v>
      </c>
      <c r="I160" s="5">
        <v>2</v>
      </c>
      <c r="J160" s="5" t="str">
        <f>_xlfn.XLOOKUP(call_center_data[[#This Row],[product_id]],Table2[Product_ID],Table2[Product_Name])</f>
        <v>Car Loan</v>
      </c>
      <c r="K160" s="5">
        <v>16</v>
      </c>
      <c r="L160" s="7">
        <v>537</v>
      </c>
      <c r="M160" s="8">
        <f>call_center_data[[#This Row],[avg_ht]]/86400</f>
        <v>6.2152777777777779E-3</v>
      </c>
      <c r="N160" s="5">
        <v>26</v>
      </c>
      <c r="O160" s="5">
        <v>9</v>
      </c>
    </row>
    <row r="161" spans="2:15" x14ac:dyDescent="0.25">
      <c r="B161" s="5">
        <v>2</v>
      </c>
      <c r="C161" s="5" t="str">
        <f>_xlfn.XLOOKUP(call_center_data[[#This Row],[agent_id]],Table1[Agent ID],Table1[Full Name])</f>
        <v>Josh Vega</v>
      </c>
      <c r="D161" s="5" t="str">
        <f>_xlfn.XLOOKUP(call_center_data[[#This Row],[agent_id]],Table1[Agent ID],Table1[Supervisor])</f>
        <v>Carol Mario</v>
      </c>
      <c r="E161" s="6">
        <f>_xlfn.XLOOKUP(call_center_data[[#This Row],[agent_id]],Table1[Agent ID],Table1[Hire Date])</f>
        <v>43687</v>
      </c>
      <c r="F161" s="7">
        <f>DATEDIF(call_center_data[[#This Row],[Hire Date]],$Q$6,"M")</f>
        <v>22</v>
      </c>
      <c r="G161" s="6">
        <v>44348</v>
      </c>
      <c r="H161" s="6" t="str">
        <f>TEXT(call_center_data[[#This Row],[date]],"DDD")</f>
        <v>Tue</v>
      </c>
      <c r="I161" s="5">
        <v>2</v>
      </c>
      <c r="J161" s="5" t="str">
        <f>_xlfn.XLOOKUP(call_center_data[[#This Row],[product_id]],Table2[Product_ID],Table2[Product_Name])</f>
        <v>Car Loan</v>
      </c>
      <c r="K161" s="5">
        <v>3</v>
      </c>
      <c r="L161" s="7">
        <v>207</v>
      </c>
      <c r="M161" s="8">
        <f>call_center_data[[#This Row],[avg_ht]]/86400</f>
        <v>2.3958333333333331E-3</v>
      </c>
      <c r="N161" s="5">
        <v>33</v>
      </c>
      <c r="O161" s="5">
        <v>8</v>
      </c>
    </row>
    <row r="162" spans="2:15" x14ac:dyDescent="0.25">
      <c r="B162" s="5">
        <v>7</v>
      </c>
      <c r="C162" s="5" t="str">
        <f>_xlfn.XLOOKUP(call_center_data[[#This Row],[agent_id]],Table1[Agent ID],Table1[Full Name])</f>
        <v>Peter Rivera</v>
      </c>
      <c r="D162" s="5" t="str">
        <f>_xlfn.XLOOKUP(call_center_data[[#This Row],[agent_id]],Table1[Agent ID],Table1[Supervisor])</f>
        <v>Carol Mario</v>
      </c>
      <c r="E162" s="6">
        <f>_xlfn.XLOOKUP(call_center_data[[#This Row],[agent_id]],Table1[Agent ID],Table1[Hire Date])</f>
        <v>44170</v>
      </c>
      <c r="F162" s="7">
        <f>DATEDIF(call_center_data[[#This Row],[Hire Date]],$Q$6,"M")</f>
        <v>6</v>
      </c>
      <c r="G162" s="6">
        <v>44349</v>
      </c>
      <c r="H162" s="6" t="str">
        <f>TEXT(call_center_data[[#This Row],[date]],"DDD")</f>
        <v>Wed</v>
      </c>
      <c r="I162" s="5">
        <v>2</v>
      </c>
      <c r="J162" s="5" t="str">
        <f>_xlfn.XLOOKUP(call_center_data[[#This Row],[product_id]],Table2[Product_ID],Table2[Product_Name])</f>
        <v>Car Loan</v>
      </c>
      <c r="K162" s="5">
        <v>29</v>
      </c>
      <c r="L162" s="7">
        <v>504</v>
      </c>
      <c r="M162" s="8">
        <f>call_center_data[[#This Row],[avg_ht]]/86400</f>
        <v>5.8333333333333336E-3</v>
      </c>
      <c r="N162" s="5">
        <v>64</v>
      </c>
      <c r="O162" s="5">
        <v>7</v>
      </c>
    </row>
    <row r="163" spans="2:15" x14ac:dyDescent="0.25">
      <c r="B163" s="5">
        <v>1</v>
      </c>
      <c r="C163" s="5" t="str">
        <f>_xlfn.XLOOKUP(call_center_data[[#This Row],[agent_id]],Table1[Agent ID],Table1[Full Name])</f>
        <v>Lisa Diaz</v>
      </c>
      <c r="D163" s="5" t="str">
        <f>_xlfn.XLOOKUP(call_center_data[[#This Row],[agent_id]],Table1[Agent ID],Table1[Supervisor])</f>
        <v>Carol Mario</v>
      </c>
      <c r="E163" s="6">
        <f>_xlfn.XLOOKUP(call_center_data[[#This Row],[agent_id]],Table1[Agent ID],Table1[Hire Date])</f>
        <v>43625</v>
      </c>
      <c r="F163" s="7">
        <f>DATEDIF(call_center_data[[#This Row],[Hire Date]],$Q$6,"M")</f>
        <v>24</v>
      </c>
      <c r="G163" s="6">
        <v>44355</v>
      </c>
      <c r="H163" s="6" t="str">
        <f>TEXT(call_center_data[[#This Row],[date]],"DDD")</f>
        <v>Tue</v>
      </c>
      <c r="I163" s="5">
        <v>2</v>
      </c>
      <c r="J163" s="5" t="str">
        <f>_xlfn.XLOOKUP(call_center_data[[#This Row],[product_id]],Table2[Product_ID],Table2[Product_Name])</f>
        <v>Car Loan</v>
      </c>
      <c r="K163" s="5">
        <v>6</v>
      </c>
      <c r="L163" s="7">
        <v>607</v>
      </c>
      <c r="M163" s="8">
        <f>call_center_data[[#This Row],[avg_ht]]/86400</f>
        <v>7.0254629629629634E-3</v>
      </c>
      <c r="N163" s="5">
        <v>25</v>
      </c>
      <c r="O163" s="5">
        <v>10</v>
      </c>
    </row>
    <row r="164" spans="2:15" x14ac:dyDescent="0.25">
      <c r="B164" s="5">
        <v>4</v>
      </c>
      <c r="C164" s="5" t="str">
        <f>_xlfn.XLOOKUP(call_center_data[[#This Row],[agent_id]],Table1[Agent ID],Table1[Full Name])</f>
        <v>Jay Alvarez</v>
      </c>
      <c r="D164" s="5" t="str">
        <f>_xlfn.XLOOKUP(call_center_data[[#This Row],[agent_id]],Table1[Agent ID],Table1[Supervisor])</f>
        <v>Carol Mario</v>
      </c>
      <c r="E164" s="6">
        <f>_xlfn.XLOOKUP(call_center_data[[#This Row],[agent_id]],Table1[Agent ID],Table1[Hire Date])</f>
        <v>43871</v>
      </c>
      <c r="F164" s="7">
        <f>DATEDIF(call_center_data[[#This Row],[Hire Date]],$Q$6,"M")</f>
        <v>16</v>
      </c>
      <c r="G164" s="6">
        <v>44369</v>
      </c>
      <c r="H164" s="6" t="str">
        <f>TEXT(call_center_data[[#This Row],[date]],"DDD")</f>
        <v>Tue</v>
      </c>
      <c r="I164" s="5">
        <v>1</v>
      </c>
      <c r="J164" s="5" t="str">
        <f>_xlfn.XLOOKUP(call_center_data[[#This Row],[product_id]],Table2[Product_ID],Table2[Product_Name])</f>
        <v>Personal Loan</v>
      </c>
      <c r="K164" s="5">
        <v>11</v>
      </c>
      <c r="L164" s="7">
        <v>708</v>
      </c>
      <c r="M164" s="8">
        <f>call_center_data[[#This Row],[avg_ht]]/86400</f>
        <v>8.1944444444444452E-3</v>
      </c>
      <c r="N164" s="5">
        <v>11</v>
      </c>
      <c r="O164" s="5">
        <v>10</v>
      </c>
    </row>
    <row r="165" spans="2:15" x14ac:dyDescent="0.25">
      <c r="B165" s="5">
        <v>1</v>
      </c>
      <c r="C165" s="5" t="str">
        <f>_xlfn.XLOOKUP(call_center_data[[#This Row],[agent_id]],Table1[Agent ID],Table1[Full Name])</f>
        <v>Lisa Diaz</v>
      </c>
      <c r="D165" s="5" t="str">
        <f>_xlfn.XLOOKUP(call_center_data[[#This Row],[agent_id]],Table1[Agent ID],Table1[Supervisor])</f>
        <v>Carol Mario</v>
      </c>
      <c r="E165" s="6">
        <f>_xlfn.XLOOKUP(call_center_data[[#This Row],[agent_id]],Table1[Agent ID],Table1[Hire Date])</f>
        <v>43625</v>
      </c>
      <c r="F165" s="7">
        <f>DATEDIF(call_center_data[[#This Row],[Hire Date]],$Q$6,"M")</f>
        <v>24</v>
      </c>
      <c r="G165" s="6">
        <v>44351</v>
      </c>
      <c r="H165" s="6" t="str">
        <f>TEXT(call_center_data[[#This Row],[date]],"DDD")</f>
        <v>Fri</v>
      </c>
      <c r="I165" s="5">
        <v>1</v>
      </c>
      <c r="J165" s="5" t="str">
        <f>_xlfn.XLOOKUP(call_center_data[[#This Row],[product_id]],Table2[Product_ID],Table2[Product_Name])</f>
        <v>Personal Loan</v>
      </c>
      <c r="K165" s="5">
        <v>25</v>
      </c>
      <c r="L165" s="7">
        <v>1713</v>
      </c>
      <c r="M165" s="8">
        <f>call_center_data[[#This Row],[avg_ht]]/86400</f>
        <v>1.982638888888889E-2</v>
      </c>
      <c r="N165" s="5">
        <v>55</v>
      </c>
      <c r="O165" s="5">
        <v>7</v>
      </c>
    </row>
    <row r="166" spans="2:15" x14ac:dyDescent="0.25">
      <c r="B166" s="5">
        <v>1</v>
      </c>
      <c r="C166" s="5" t="str">
        <f>_xlfn.XLOOKUP(call_center_data[[#This Row],[agent_id]],Table1[Agent ID],Table1[Full Name])</f>
        <v>Lisa Diaz</v>
      </c>
      <c r="D166" s="5" t="str">
        <f>_xlfn.XLOOKUP(call_center_data[[#This Row],[agent_id]],Table1[Agent ID],Table1[Supervisor])</f>
        <v>Carol Mario</v>
      </c>
      <c r="E166" s="6">
        <f>_xlfn.XLOOKUP(call_center_data[[#This Row],[agent_id]],Table1[Agent ID],Table1[Hire Date])</f>
        <v>43625</v>
      </c>
      <c r="F166" s="7">
        <f>DATEDIF(call_center_data[[#This Row],[Hire Date]],$Q$6,"M")</f>
        <v>24</v>
      </c>
      <c r="G166" s="6">
        <v>44370</v>
      </c>
      <c r="H166" s="6" t="str">
        <f>TEXT(call_center_data[[#This Row],[date]],"DDD")</f>
        <v>Wed</v>
      </c>
      <c r="I166" s="5">
        <v>2</v>
      </c>
      <c r="J166" s="5" t="str">
        <f>_xlfn.XLOOKUP(call_center_data[[#This Row],[product_id]],Table2[Product_ID],Table2[Product_Name])</f>
        <v>Car Loan</v>
      </c>
      <c r="K166" s="5">
        <v>7</v>
      </c>
      <c r="L166" s="7">
        <v>1211</v>
      </c>
      <c r="M166" s="8">
        <f>call_center_data[[#This Row],[avg_ht]]/86400</f>
        <v>1.4016203703703704E-2</v>
      </c>
      <c r="N166" s="5">
        <v>18</v>
      </c>
      <c r="O166" s="5">
        <v>9</v>
      </c>
    </row>
    <row r="167" spans="2:15" x14ac:dyDescent="0.25">
      <c r="B167" s="5">
        <v>5</v>
      </c>
      <c r="C167" s="5" t="str">
        <f>_xlfn.XLOOKUP(call_center_data[[#This Row],[agent_id]],Table1[Agent ID],Table1[Full Name])</f>
        <v>Eric Molina</v>
      </c>
      <c r="D167" s="5" t="str">
        <f>_xlfn.XLOOKUP(call_center_data[[#This Row],[agent_id]],Table1[Agent ID],Table1[Supervisor])</f>
        <v>Lester De Mesa</v>
      </c>
      <c r="E167" s="6">
        <f>_xlfn.XLOOKUP(call_center_data[[#This Row],[agent_id]],Table1[Agent ID],Table1[Hire Date])</f>
        <v>43966</v>
      </c>
      <c r="F167" s="7">
        <f>DATEDIF(call_center_data[[#This Row],[Hire Date]],$Q$6,"M")</f>
        <v>13</v>
      </c>
      <c r="G167" s="6">
        <v>44369</v>
      </c>
      <c r="H167" s="6" t="str">
        <f>TEXT(call_center_data[[#This Row],[date]],"DDD")</f>
        <v>Tue</v>
      </c>
      <c r="I167" s="5">
        <v>2</v>
      </c>
      <c r="J167" s="5" t="str">
        <f>_xlfn.XLOOKUP(call_center_data[[#This Row],[product_id]],Table2[Product_ID],Table2[Product_Name])</f>
        <v>Car Loan</v>
      </c>
      <c r="K167" s="5">
        <v>21</v>
      </c>
      <c r="L167" s="7">
        <v>696</v>
      </c>
      <c r="M167" s="8">
        <f>call_center_data[[#This Row],[avg_ht]]/86400</f>
        <v>8.0555555555555554E-3</v>
      </c>
      <c r="N167" s="5">
        <v>62</v>
      </c>
      <c r="O167" s="5">
        <v>7</v>
      </c>
    </row>
    <row r="168" spans="2:15" x14ac:dyDescent="0.25">
      <c r="B168" s="5">
        <v>3</v>
      </c>
      <c r="C168" s="5" t="str">
        <f>_xlfn.XLOOKUP(call_center_data[[#This Row],[agent_id]],Table1[Agent ID],Table1[Full Name])</f>
        <v>Cecille Chen</v>
      </c>
      <c r="D168" s="5" t="str">
        <f>_xlfn.XLOOKUP(call_center_data[[#This Row],[agent_id]],Table1[Agent ID],Table1[Supervisor])</f>
        <v>Lester De Mesa</v>
      </c>
      <c r="E168" s="6">
        <f>_xlfn.XLOOKUP(call_center_data[[#This Row],[agent_id]],Table1[Agent ID],Table1[Hire Date])</f>
        <v>43727</v>
      </c>
      <c r="F168" s="7">
        <f>DATEDIF(call_center_data[[#This Row],[Hire Date]],$Q$6,"M")</f>
        <v>21</v>
      </c>
      <c r="G168" s="6">
        <v>44371</v>
      </c>
      <c r="H168" s="6" t="str">
        <f>TEXT(call_center_data[[#This Row],[date]],"DDD")</f>
        <v>Thu</v>
      </c>
      <c r="I168" s="5">
        <v>2</v>
      </c>
      <c r="J168" s="5" t="str">
        <f>_xlfn.XLOOKUP(call_center_data[[#This Row],[product_id]],Table2[Product_ID],Table2[Product_Name])</f>
        <v>Car Loan</v>
      </c>
      <c r="K168" s="5">
        <v>14</v>
      </c>
      <c r="L168" s="7">
        <v>368</v>
      </c>
      <c r="M168" s="8">
        <f>call_center_data[[#This Row],[avg_ht]]/86400</f>
        <v>4.2592592592592595E-3</v>
      </c>
      <c r="N168" s="5">
        <v>78</v>
      </c>
      <c r="O168" s="5">
        <v>6</v>
      </c>
    </row>
    <row r="169" spans="2:15" x14ac:dyDescent="0.25">
      <c r="B169" s="5">
        <v>6</v>
      </c>
      <c r="C169" s="5" t="str">
        <f>_xlfn.XLOOKUP(call_center_data[[#This Row],[agent_id]],Table1[Agent ID],Table1[Full Name])</f>
        <v>Jane Hernandez</v>
      </c>
      <c r="D169" s="5" t="str">
        <f>_xlfn.XLOOKUP(call_center_data[[#This Row],[agent_id]],Table1[Agent ID],Table1[Supervisor])</f>
        <v>Lester De Mesa</v>
      </c>
      <c r="E169" s="6">
        <f>_xlfn.XLOOKUP(call_center_data[[#This Row],[agent_id]],Table1[Agent ID],Table1[Hire Date])</f>
        <v>44116</v>
      </c>
      <c r="F169" s="7">
        <f>DATEDIF(call_center_data[[#This Row],[Hire Date]],$Q$6,"M")</f>
        <v>8</v>
      </c>
      <c r="G169" s="6">
        <v>44361</v>
      </c>
      <c r="H169" s="6" t="str">
        <f>TEXT(call_center_data[[#This Row],[date]],"DDD")</f>
        <v>Mon</v>
      </c>
      <c r="I169" s="5">
        <v>1</v>
      </c>
      <c r="J169" s="5" t="str">
        <f>_xlfn.XLOOKUP(call_center_data[[#This Row],[product_id]],Table2[Product_ID],Table2[Product_Name])</f>
        <v>Personal Loan</v>
      </c>
      <c r="K169" s="5">
        <v>17</v>
      </c>
      <c r="L169" s="7">
        <v>878</v>
      </c>
      <c r="M169" s="8">
        <f>call_center_data[[#This Row],[avg_ht]]/86400</f>
        <v>1.0162037037037037E-2</v>
      </c>
      <c r="N169" s="5">
        <v>40</v>
      </c>
      <c r="O169" s="5">
        <v>9</v>
      </c>
    </row>
    <row r="170" spans="2:15" x14ac:dyDescent="0.25">
      <c r="B170" s="5">
        <v>8</v>
      </c>
      <c r="C170" s="5" t="str">
        <f>_xlfn.XLOOKUP(call_center_data[[#This Row],[agent_id]],Table1[Agent ID],Table1[Full Name])</f>
        <v>Rachel Delos Santos</v>
      </c>
      <c r="D170" s="5" t="str">
        <f>_xlfn.XLOOKUP(call_center_data[[#This Row],[agent_id]],Table1[Agent ID],Table1[Supervisor])</f>
        <v>Carol Mario</v>
      </c>
      <c r="E170" s="6">
        <f>_xlfn.XLOOKUP(call_center_data[[#This Row],[agent_id]],Table1[Agent ID],Table1[Hire Date])</f>
        <v>44212</v>
      </c>
      <c r="F170" s="7">
        <f>DATEDIF(call_center_data[[#This Row],[Hire Date]],$Q$6,"M")</f>
        <v>5</v>
      </c>
      <c r="G170" s="6">
        <v>44353</v>
      </c>
      <c r="H170" s="6" t="str">
        <f>TEXT(call_center_data[[#This Row],[date]],"DDD")</f>
        <v>Sun</v>
      </c>
      <c r="I170" s="5">
        <v>1</v>
      </c>
      <c r="J170" s="5" t="str">
        <f>_xlfn.XLOOKUP(call_center_data[[#This Row],[product_id]],Table2[Product_ID],Table2[Product_Name])</f>
        <v>Personal Loan</v>
      </c>
      <c r="K170" s="5">
        <v>25</v>
      </c>
      <c r="L170" s="7">
        <v>1437</v>
      </c>
      <c r="M170" s="8">
        <f>call_center_data[[#This Row],[avg_ht]]/86400</f>
        <v>1.6631944444444446E-2</v>
      </c>
      <c r="N170" s="5">
        <v>68</v>
      </c>
      <c r="O170" s="5">
        <v>6</v>
      </c>
    </row>
    <row r="171" spans="2:15" x14ac:dyDescent="0.25">
      <c r="B171" s="5">
        <v>10</v>
      </c>
      <c r="C171" s="5" t="str">
        <f>_xlfn.XLOOKUP(call_center_data[[#This Row],[agent_id]],Table1[Agent ID],Table1[Full Name])</f>
        <v>Mark Ventura</v>
      </c>
      <c r="D171" s="5" t="str">
        <f>_xlfn.XLOOKUP(call_center_data[[#This Row],[agent_id]],Table1[Agent ID],Table1[Supervisor])</f>
        <v>Lester De Mesa</v>
      </c>
      <c r="E171" s="6">
        <f>_xlfn.XLOOKUP(call_center_data[[#This Row],[agent_id]],Table1[Agent ID],Table1[Hire Date])</f>
        <v>44238</v>
      </c>
      <c r="F171" s="7">
        <f>DATEDIF(call_center_data[[#This Row],[Hire Date]],$Q$6,"M")</f>
        <v>4</v>
      </c>
      <c r="G171" s="6">
        <v>44355</v>
      </c>
      <c r="H171" s="6" t="str">
        <f>TEXT(call_center_data[[#This Row],[date]],"DDD")</f>
        <v>Tue</v>
      </c>
      <c r="I171" s="5">
        <v>2</v>
      </c>
      <c r="J171" s="5" t="str">
        <f>_xlfn.XLOOKUP(call_center_data[[#This Row],[product_id]],Table2[Product_ID],Table2[Product_Name])</f>
        <v>Car Loan</v>
      </c>
      <c r="K171" s="5">
        <v>33</v>
      </c>
      <c r="L171" s="7">
        <v>63</v>
      </c>
      <c r="M171" s="8">
        <f>call_center_data[[#This Row],[avg_ht]]/86400</f>
        <v>7.291666666666667E-4</v>
      </c>
      <c r="N171" s="5">
        <v>53</v>
      </c>
      <c r="O171" s="5">
        <v>7</v>
      </c>
    </row>
    <row r="172" spans="2:15" x14ac:dyDescent="0.25">
      <c r="B172" s="5">
        <v>5</v>
      </c>
      <c r="C172" s="5" t="str">
        <f>_xlfn.XLOOKUP(call_center_data[[#This Row],[agent_id]],Table1[Agent ID],Table1[Full Name])</f>
        <v>Eric Molina</v>
      </c>
      <c r="D172" s="5" t="str">
        <f>_xlfn.XLOOKUP(call_center_data[[#This Row],[agent_id]],Table1[Agent ID],Table1[Supervisor])</f>
        <v>Lester De Mesa</v>
      </c>
      <c r="E172" s="6">
        <f>_xlfn.XLOOKUP(call_center_data[[#This Row],[agent_id]],Table1[Agent ID],Table1[Hire Date])</f>
        <v>43966</v>
      </c>
      <c r="F172" s="7">
        <f>DATEDIF(call_center_data[[#This Row],[Hire Date]],$Q$6,"M")</f>
        <v>13</v>
      </c>
      <c r="G172" s="6">
        <v>44360</v>
      </c>
      <c r="H172" s="6" t="str">
        <f>TEXT(call_center_data[[#This Row],[date]],"DDD")</f>
        <v>Sun</v>
      </c>
      <c r="I172" s="5">
        <v>2</v>
      </c>
      <c r="J172" s="5" t="str">
        <f>_xlfn.XLOOKUP(call_center_data[[#This Row],[product_id]],Table2[Product_ID],Table2[Product_Name])</f>
        <v>Car Loan</v>
      </c>
      <c r="K172" s="5">
        <v>21</v>
      </c>
      <c r="L172" s="7">
        <v>643</v>
      </c>
      <c r="M172" s="8">
        <f>call_center_data[[#This Row],[avg_ht]]/86400</f>
        <v>7.4421296296296293E-3</v>
      </c>
      <c r="N172" s="5">
        <v>21</v>
      </c>
      <c r="O172" s="5">
        <v>10</v>
      </c>
    </row>
    <row r="173" spans="2:15" x14ac:dyDescent="0.25">
      <c r="B173" s="5">
        <v>2</v>
      </c>
      <c r="C173" s="5" t="str">
        <f>_xlfn.XLOOKUP(call_center_data[[#This Row],[agent_id]],Table1[Agent ID],Table1[Full Name])</f>
        <v>Josh Vega</v>
      </c>
      <c r="D173" s="5" t="str">
        <f>_xlfn.XLOOKUP(call_center_data[[#This Row],[agent_id]],Table1[Agent ID],Table1[Supervisor])</f>
        <v>Carol Mario</v>
      </c>
      <c r="E173" s="6">
        <f>_xlfn.XLOOKUP(call_center_data[[#This Row],[agent_id]],Table1[Agent ID],Table1[Hire Date])</f>
        <v>43687</v>
      </c>
      <c r="F173" s="7">
        <f>DATEDIF(call_center_data[[#This Row],[Hire Date]],$Q$6,"M")</f>
        <v>22</v>
      </c>
      <c r="G173" s="6">
        <v>44371</v>
      </c>
      <c r="H173" s="6" t="str">
        <f>TEXT(call_center_data[[#This Row],[date]],"DDD")</f>
        <v>Thu</v>
      </c>
      <c r="I173" s="5">
        <v>1</v>
      </c>
      <c r="J173" s="5" t="str">
        <f>_xlfn.XLOOKUP(call_center_data[[#This Row],[product_id]],Table2[Product_ID],Table2[Product_Name])</f>
        <v>Personal Loan</v>
      </c>
      <c r="K173" s="5">
        <v>4</v>
      </c>
      <c r="L173" s="7">
        <v>473</v>
      </c>
      <c r="M173" s="8">
        <f>call_center_data[[#This Row],[avg_ht]]/86400</f>
        <v>5.4745370370370373E-3</v>
      </c>
      <c r="N173" s="5">
        <v>11</v>
      </c>
      <c r="O173" s="5">
        <v>10</v>
      </c>
    </row>
    <row r="174" spans="2:15" x14ac:dyDescent="0.25">
      <c r="B174" s="5">
        <v>8</v>
      </c>
      <c r="C174" s="5" t="str">
        <f>_xlfn.XLOOKUP(call_center_data[[#This Row],[agent_id]],Table1[Agent ID],Table1[Full Name])</f>
        <v>Rachel Delos Santos</v>
      </c>
      <c r="D174" s="5" t="str">
        <f>_xlfn.XLOOKUP(call_center_data[[#This Row],[agent_id]],Table1[Agent ID],Table1[Supervisor])</f>
        <v>Carol Mario</v>
      </c>
      <c r="E174" s="6">
        <f>_xlfn.XLOOKUP(call_center_data[[#This Row],[agent_id]],Table1[Agent ID],Table1[Hire Date])</f>
        <v>44212</v>
      </c>
      <c r="F174" s="7">
        <f>DATEDIF(call_center_data[[#This Row],[Hire Date]],$Q$6,"M")</f>
        <v>5</v>
      </c>
      <c r="G174" s="6">
        <v>44374</v>
      </c>
      <c r="H174" s="6" t="str">
        <f>TEXT(call_center_data[[#This Row],[date]],"DDD")</f>
        <v>Sun</v>
      </c>
      <c r="I174" s="5">
        <v>1</v>
      </c>
      <c r="J174" s="5" t="str">
        <f>_xlfn.XLOOKUP(call_center_data[[#This Row],[product_id]],Table2[Product_ID],Table2[Product_Name])</f>
        <v>Personal Loan</v>
      </c>
      <c r="K174" s="5">
        <v>22</v>
      </c>
      <c r="L174" s="7">
        <v>1214</v>
      </c>
      <c r="M174" s="8">
        <f>call_center_data[[#This Row],[avg_ht]]/86400</f>
        <v>1.4050925925925927E-2</v>
      </c>
      <c r="N174" s="5">
        <v>39</v>
      </c>
      <c r="O174" s="5">
        <v>8</v>
      </c>
    </row>
    <row r="175" spans="2:15" x14ac:dyDescent="0.25">
      <c r="B175" s="5">
        <v>7</v>
      </c>
      <c r="C175" s="5" t="str">
        <f>_xlfn.XLOOKUP(call_center_data[[#This Row],[agent_id]],Table1[Agent ID],Table1[Full Name])</f>
        <v>Peter Rivera</v>
      </c>
      <c r="D175" s="5" t="str">
        <f>_xlfn.XLOOKUP(call_center_data[[#This Row],[agent_id]],Table1[Agent ID],Table1[Supervisor])</f>
        <v>Carol Mario</v>
      </c>
      <c r="E175" s="6">
        <f>_xlfn.XLOOKUP(call_center_data[[#This Row],[agent_id]],Table1[Agent ID],Table1[Hire Date])</f>
        <v>44170</v>
      </c>
      <c r="F175" s="7">
        <f>DATEDIF(call_center_data[[#This Row],[Hire Date]],$Q$6,"M")</f>
        <v>6</v>
      </c>
      <c r="G175" s="6">
        <v>44356</v>
      </c>
      <c r="H175" s="6" t="str">
        <f>TEXT(call_center_data[[#This Row],[date]],"DDD")</f>
        <v>Wed</v>
      </c>
      <c r="I175" s="5">
        <v>3</v>
      </c>
      <c r="J175" s="5" t="str">
        <f>_xlfn.XLOOKUP(call_center_data[[#This Row],[product_id]],Table2[Product_ID],Table2[Product_Name])</f>
        <v>Property Loan</v>
      </c>
      <c r="K175" s="5">
        <v>30</v>
      </c>
      <c r="L175" s="7">
        <v>84</v>
      </c>
      <c r="M175" s="8">
        <f>call_center_data[[#This Row],[avg_ht]]/86400</f>
        <v>9.7222222222222219E-4</v>
      </c>
      <c r="N175" s="5">
        <v>21</v>
      </c>
      <c r="O175" s="5">
        <v>10</v>
      </c>
    </row>
    <row r="176" spans="2:15" x14ac:dyDescent="0.25">
      <c r="B176" s="5">
        <v>7</v>
      </c>
      <c r="C176" s="5" t="str">
        <f>_xlfn.XLOOKUP(call_center_data[[#This Row],[agent_id]],Table1[Agent ID],Table1[Full Name])</f>
        <v>Peter Rivera</v>
      </c>
      <c r="D176" s="5" t="str">
        <f>_xlfn.XLOOKUP(call_center_data[[#This Row],[agent_id]],Table1[Agent ID],Table1[Supervisor])</f>
        <v>Carol Mario</v>
      </c>
      <c r="E176" s="6">
        <f>_xlfn.XLOOKUP(call_center_data[[#This Row],[agent_id]],Table1[Agent ID],Table1[Hire Date])</f>
        <v>44170</v>
      </c>
      <c r="F176" s="7">
        <f>DATEDIF(call_center_data[[#This Row],[Hire Date]],$Q$6,"M")</f>
        <v>6</v>
      </c>
      <c r="G176" s="6">
        <v>44360</v>
      </c>
      <c r="H176" s="6" t="str">
        <f>TEXT(call_center_data[[#This Row],[date]],"DDD")</f>
        <v>Sun</v>
      </c>
      <c r="I176" s="5">
        <v>1</v>
      </c>
      <c r="J176" s="5" t="str">
        <f>_xlfn.XLOOKUP(call_center_data[[#This Row],[product_id]],Table2[Product_ID],Table2[Product_Name])</f>
        <v>Personal Loan</v>
      </c>
      <c r="K176" s="5">
        <v>25</v>
      </c>
      <c r="L176" s="7">
        <v>153</v>
      </c>
      <c r="M176" s="8">
        <f>call_center_data[[#This Row],[avg_ht]]/86400</f>
        <v>1.7708333333333332E-3</v>
      </c>
      <c r="N176" s="5">
        <v>30</v>
      </c>
      <c r="O176" s="5">
        <v>9</v>
      </c>
    </row>
    <row r="177" spans="2:15" x14ac:dyDescent="0.25">
      <c r="B177" s="5">
        <v>8</v>
      </c>
      <c r="C177" s="5" t="str">
        <f>_xlfn.XLOOKUP(call_center_data[[#This Row],[agent_id]],Table1[Agent ID],Table1[Full Name])</f>
        <v>Rachel Delos Santos</v>
      </c>
      <c r="D177" s="5" t="str">
        <f>_xlfn.XLOOKUP(call_center_data[[#This Row],[agent_id]],Table1[Agent ID],Table1[Supervisor])</f>
        <v>Carol Mario</v>
      </c>
      <c r="E177" s="6">
        <f>_xlfn.XLOOKUP(call_center_data[[#This Row],[agent_id]],Table1[Agent ID],Table1[Hire Date])</f>
        <v>44212</v>
      </c>
      <c r="F177" s="7">
        <f>DATEDIF(call_center_data[[#This Row],[Hire Date]],$Q$6,"M")</f>
        <v>5</v>
      </c>
      <c r="G177" s="6">
        <v>44368</v>
      </c>
      <c r="H177" s="6" t="str">
        <f>TEXT(call_center_data[[#This Row],[date]],"DDD")</f>
        <v>Mon</v>
      </c>
      <c r="I177" s="5">
        <v>1</v>
      </c>
      <c r="J177" s="5" t="str">
        <f>_xlfn.XLOOKUP(call_center_data[[#This Row],[product_id]],Table2[Product_ID],Table2[Product_Name])</f>
        <v>Personal Loan</v>
      </c>
      <c r="K177" s="5">
        <v>25</v>
      </c>
      <c r="L177" s="7">
        <v>793</v>
      </c>
      <c r="M177" s="8">
        <f>call_center_data[[#This Row],[avg_ht]]/86400</f>
        <v>9.1782407407407403E-3</v>
      </c>
      <c r="N177" s="5">
        <v>25</v>
      </c>
      <c r="O177" s="5">
        <v>8</v>
      </c>
    </row>
    <row r="178" spans="2:15" x14ac:dyDescent="0.25">
      <c r="B178" s="5">
        <v>1</v>
      </c>
      <c r="C178" s="5" t="str">
        <f>_xlfn.XLOOKUP(call_center_data[[#This Row],[agent_id]],Table1[Agent ID],Table1[Full Name])</f>
        <v>Lisa Diaz</v>
      </c>
      <c r="D178" s="5" t="str">
        <f>_xlfn.XLOOKUP(call_center_data[[#This Row],[agent_id]],Table1[Agent ID],Table1[Supervisor])</f>
        <v>Carol Mario</v>
      </c>
      <c r="E178" s="6">
        <f>_xlfn.XLOOKUP(call_center_data[[#This Row],[agent_id]],Table1[Agent ID],Table1[Hire Date])</f>
        <v>43625</v>
      </c>
      <c r="F178" s="7">
        <f>DATEDIF(call_center_data[[#This Row],[Hire Date]],$Q$6,"M")</f>
        <v>24</v>
      </c>
      <c r="G178" s="6">
        <v>44373</v>
      </c>
      <c r="H178" s="6" t="str">
        <f>TEXT(call_center_data[[#This Row],[date]],"DDD")</f>
        <v>Sat</v>
      </c>
      <c r="I178" s="5">
        <v>2</v>
      </c>
      <c r="J178" s="5" t="str">
        <f>_xlfn.XLOOKUP(call_center_data[[#This Row],[product_id]],Table2[Product_ID],Table2[Product_Name])</f>
        <v>Car Loan</v>
      </c>
      <c r="K178" s="5">
        <v>28</v>
      </c>
      <c r="L178" s="7">
        <v>1813</v>
      </c>
      <c r="M178" s="8">
        <f>call_center_data[[#This Row],[avg_ht]]/86400</f>
        <v>2.0983796296296296E-2</v>
      </c>
      <c r="N178" s="5">
        <v>91</v>
      </c>
      <c r="O178" s="5">
        <v>5</v>
      </c>
    </row>
    <row r="179" spans="2:15" x14ac:dyDescent="0.25">
      <c r="B179" s="5">
        <v>9</v>
      </c>
      <c r="C179" s="5" t="str">
        <f>_xlfn.XLOOKUP(call_center_data[[#This Row],[agent_id]],Table1[Agent ID],Table1[Full Name])</f>
        <v>Cherry Castillo</v>
      </c>
      <c r="D179" s="5" t="str">
        <f>_xlfn.XLOOKUP(call_center_data[[#This Row],[agent_id]],Table1[Agent ID],Table1[Supervisor])</f>
        <v>Lester De Mesa</v>
      </c>
      <c r="E179" s="6">
        <f>_xlfn.XLOOKUP(call_center_data[[#This Row],[agent_id]],Table1[Agent ID],Table1[Hire Date])</f>
        <v>44226</v>
      </c>
      <c r="F179" s="7">
        <f>DATEDIF(call_center_data[[#This Row],[Hire Date]],$Q$6,"M")</f>
        <v>5</v>
      </c>
      <c r="G179" s="6">
        <v>44365</v>
      </c>
      <c r="H179" s="6" t="str">
        <f>TEXT(call_center_data[[#This Row],[date]],"DDD")</f>
        <v>Fri</v>
      </c>
      <c r="I179" s="5">
        <v>2</v>
      </c>
      <c r="J179" s="5" t="str">
        <f>_xlfn.XLOOKUP(call_center_data[[#This Row],[product_id]],Table2[Product_ID],Table2[Product_Name])</f>
        <v>Car Loan</v>
      </c>
      <c r="K179" s="5">
        <v>36</v>
      </c>
      <c r="L179" s="7">
        <v>734</v>
      </c>
      <c r="M179" s="8">
        <f>call_center_data[[#This Row],[avg_ht]]/86400</f>
        <v>8.4953703703703701E-3</v>
      </c>
      <c r="N179" s="5">
        <v>56</v>
      </c>
      <c r="O179" s="5">
        <v>7</v>
      </c>
    </row>
    <row r="180" spans="2:15" x14ac:dyDescent="0.25">
      <c r="B180" s="5">
        <v>10</v>
      </c>
      <c r="C180" s="5" t="str">
        <f>_xlfn.XLOOKUP(call_center_data[[#This Row],[agent_id]],Table1[Agent ID],Table1[Full Name])</f>
        <v>Mark Ventura</v>
      </c>
      <c r="D180" s="5" t="str">
        <f>_xlfn.XLOOKUP(call_center_data[[#This Row],[agent_id]],Table1[Agent ID],Table1[Supervisor])</f>
        <v>Lester De Mesa</v>
      </c>
      <c r="E180" s="6">
        <f>_xlfn.XLOOKUP(call_center_data[[#This Row],[agent_id]],Table1[Agent ID],Table1[Hire Date])</f>
        <v>44238</v>
      </c>
      <c r="F180" s="7">
        <f>DATEDIF(call_center_data[[#This Row],[Hire Date]],$Q$6,"M")</f>
        <v>4</v>
      </c>
      <c r="G180" s="6">
        <v>44357</v>
      </c>
      <c r="H180" s="6" t="str">
        <f>TEXT(call_center_data[[#This Row],[date]],"DDD")</f>
        <v>Thu</v>
      </c>
      <c r="I180" s="5">
        <v>1</v>
      </c>
      <c r="J180" s="5" t="str">
        <f>_xlfn.XLOOKUP(call_center_data[[#This Row],[product_id]],Table2[Product_ID],Table2[Product_Name])</f>
        <v>Personal Loan</v>
      </c>
      <c r="K180" s="5">
        <v>31</v>
      </c>
      <c r="L180" s="7">
        <v>860</v>
      </c>
      <c r="M180" s="8">
        <f>call_center_data[[#This Row],[avg_ht]]/86400</f>
        <v>9.9537037037037042E-3</v>
      </c>
      <c r="N180" s="5">
        <v>15</v>
      </c>
      <c r="O180" s="5">
        <v>10</v>
      </c>
    </row>
    <row r="181" spans="2:15" x14ac:dyDescent="0.25">
      <c r="B181" s="5">
        <v>5</v>
      </c>
      <c r="C181" s="5" t="str">
        <f>_xlfn.XLOOKUP(call_center_data[[#This Row],[agent_id]],Table1[Agent ID],Table1[Full Name])</f>
        <v>Eric Molina</v>
      </c>
      <c r="D181" s="5" t="str">
        <f>_xlfn.XLOOKUP(call_center_data[[#This Row],[agent_id]],Table1[Agent ID],Table1[Supervisor])</f>
        <v>Lester De Mesa</v>
      </c>
      <c r="E181" s="6">
        <f>_xlfn.XLOOKUP(call_center_data[[#This Row],[agent_id]],Table1[Agent ID],Table1[Hire Date])</f>
        <v>43966</v>
      </c>
      <c r="F181" s="7">
        <f>DATEDIF(call_center_data[[#This Row],[Hire Date]],$Q$6,"M")</f>
        <v>13</v>
      </c>
      <c r="G181" s="6">
        <v>44349</v>
      </c>
      <c r="H181" s="6" t="str">
        <f>TEXT(call_center_data[[#This Row],[date]],"DDD")</f>
        <v>Wed</v>
      </c>
      <c r="I181" s="5">
        <v>3</v>
      </c>
      <c r="J181" s="5" t="str">
        <f>_xlfn.XLOOKUP(call_center_data[[#This Row],[product_id]],Table2[Product_ID],Table2[Product_Name])</f>
        <v>Property Loan</v>
      </c>
      <c r="K181" s="5">
        <v>25</v>
      </c>
      <c r="L181" s="7">
        <v>596</v>
      </c>
      <c r="M181" s="8">
        <f>call_center_data[[#This Row],[avg_ht]]/86400</f>
        <v>6.898148148148148E-3</v>
      </c>
      <c r="N181" s="5">
        <v>36</v>
      </c>
      <c r="O181" s="5">
        <v>9</v>
      </c>
    </row>
    <row r="182" spans="2:15" x14ac:dyDescent="0.25">
      <c r="B182" s="5">
        <v>9</v>
      </c>
      <c r="C182" s="5" t="str">
        <f>_xlfn.XLOOKUP(call_center_data[[#This Row],[agent_id]],Table1[Agent ID],Table1[Full Name])</f>
        <v>Cherry Castillo</v>
      </c>
      <c r="D182" s="5" t="str">
        <f>_xlfn.XLOOKUP(call_center_data[[#This Row],[agent_id]],Table1[Agent ID],Table1[Supervisor])</f>
        <v>Lester De Mesa</v>
      </c>
      <c r="E182" s="6">
        <f>_xlfn.XLOOKUP(call_center_data[[#This Row],[agent_id]],Table1[Agent ID],Table1[Hire Date])</f>
        <v>44226</v>
      </c>
      <c r="F182" s="7">
        <f>DATEDIF(call_center_data[[#This Row],[Hire Date]],$Q$6,"M")</f>
        <v>5</v>
      </c>
      <c r="G182" s="6">
        <v>44358</v>
      </c>
      <c r="H182" s="6" t="str">
        <f>TEXT(call_center_data[[#This Row],[date]],"DDD")</f>
        <v>Fri</v>
      </c>
      <c r="I182" s="5">
        <v>1</v>
      </c>
      <c r="J182" s="5" t="str">
        <f>_xlfn.XLOOKUP(call_center_data[[#This Row],[product_id]],Table2[Product_ID],Table2[Product_Name])</f>
        <v>Personal Loan</v>
      </c>
      <c r="K182" s="5">
        <v>35</v>
      </c>
      <c r="L182" s="7">
        <v>1718</v>
      </c>
      <c r="M182" s="8">
        <f>call_center_data[[#This Row],[avg_ht]]/86400</f>
        <v>1.9884259259259258E-2</v>
      </c>
      <c r="N182" s="5">
        <v>96</v>
      </c>
      <c r="O182" s="5">
        <v>5</v>
      </c>
    </row>
    <row r="183" spans="2:15" x14ac:dyDescent="0.25">
      <c r="B183" s="5">
        <v>2</v>
      </c>
      <c r="C183" s="5" t="str">
        <f>_xlfn.XLOOKUP(call_center_data[[#This Row],[agent_id]],Table1[Agent ID],Table1[Full Name])</f>
        <v>Josh Vega</v>
      </c>
      <c r="D183" s="5" t="str">
        <f>_xlfn.XLOOKUP(call_center_data[[#This Row],[agent_id]],Table1[Agent ID],Table1[Supervisor])</f>
        <v>Carol Mario</v>
      </c>
      <c r="E183" s="6">
        <f>_xlfn.XLOOKUP(call_center_data[[#This Row],[agent_id]],Table1[Agent ID],Table1[Hire Date])</f>
        <v>43687</v>
      </c>
      <c r="F183" s="7">
        <f>DATEDIF(call_center_data[[#This Row],[Hire Date]],$Q$6,"M")</f>
        <v>22</v>
      </c>
      <c r="G183" s="6">
        <v>44362</v>
      </c>
      <c r="H183" s="6" t="str">
        <f>TEXT(call_center_data[[#This Row],[date]],"DDD")</f>
        <v>Tue</v>
      </c>
      <c r="I183" s="5">
        <v>1</v>
      </c>
      <c r="J183" s="5" t="str">
        <f>_xlfn.XLOOKUP(call_center_data[[#This Row],[product_id]],Table2[Product_ID],Table2[Product_Name])</f>
        <v>Personal Loan</v>
      </c>
      <c r="K183" s="5">
        <v>2</v>
      </c>
      <c r="L183" s="7">
        <v>105</v>
      </c>
      <c r="M183" s="8">
        <f>call_center_data[[#This Row],[avg_ht]]/86400</f>
        <v>1.2152777777777778E-3</v>
      </c>
      <c r="N183" s="5">
        <v>73</v>
      </c>
      <c r="O183" s="5">
        <v>6</v>
      </c>
    </row>
    <row r="184" spans="2:15" x14ac:dyDescent="0.25">
      <c r="B184" s="5">
        <v>7</v>
      </c>
      <c r="C184" s="5" t="str">
        <f>_xlfn.XLOOKUP(call_center_data[[#This Row],[agent_id]],Table1[Agent ID],Table1[Full Name])</f>
        <v>Peter Rivera</v>
      </c>
      <c r="D184" s="5" t="str">
        <f>_xlfn.XLOOKUP(call_center_data[[#This Row],[agent_id]],Table1[Agent ID],Table1[Supervisor])</f>
        <v>Carol Mario</v>
      </c>
      <c r="E184" s="6">
        <f>_xlfn.XLOOKUP(call_center_data[[#This Row],[agent_id]],Table1[Agent ID],Table1[Hire Date])</f>
        <v>44170</v>
      </c>
      <c r="F184" s="7">
        <f>DATEDIF(call_center_data[[#This Row],[Hire Date]],$Q$6,"M")</f>
        <v>6</v>
      </c>
      <c r="G184" s="6">
        <v>44358</v>
      </c>
      <c r="H184" s="6" t="str">
        <f>TEXT(call_center_data[[#This Row],[date]],"DDD")</f>
        <v>Fri</v>
      </c>
      <c r="I184" s="5">
        <v>2</v>
      </c>
      <c r="J184" s="5" t="str">
        <f>_xlfn.XLOOKUP(call_center_data[[#This Row],[product_id]],Table2[Product_ID],Table2[Product_Name])</f>
        <v>Car Loan</v>
      </c>
      <c r="K184" s="5">
        <v>21</v>
      </c>
      <c r="L184" s="7">
        <v>668</v>
      </c>
      <c r="M184" s="8">
        <f>call_center_data[[#This Row],[avg_ht]]/86400</f>
        <v>7.7314814814814815E-3</v>
      </c>
      <c r="N184" s="5">
        <v>71</v>
      </c>
      <c r="O184" s="5">
        <v>6</v>
      </c>
    </row>
    <row r="185" spans="2:15" x14ac:dyDescent="0.25">
      <c r="B185" s="5">
        <v>8</v>
      </c>
      <c r="C185" s="5" t="str">
        <f>_xlfn.XLOOKUP(call_center_data[[#This Row],[agent_id]],Table1[Agent ID],Table1[Full Name])</f>
        <v>Rachel Delos Santos</v>
      </c>
      <c r="D185" s="5" t="str">
        <f>_xlfn.XLOOKUP(call_center_data[[#This Row],[agent_id]],Table1[Agent ID],Table1[Supervisor])</f>
        <v>Carol Mario</v>
      </c>
      <c r="E185" s="6">
        <f>_xlfn.XLOOKUP(call_center_data[[#This Row],[agent_id]],Table1[Agent ID],Table1[Hire Date])</f>
        <v>44212</v>
      </c>
      <c r="F185" s="7">
        <f>DATEDIF(call_center_data[[#This Row],[Hire Date]],$Q$6,"M")</f>
        <v>5</v>
      </c>
      <c r="G185" s="6">
        <v>44373</v>
      </c>
      <c r="H185" s="6" t="str">
        <f>TEXT(call_center_data[[#This Row],[date]],"DDD")</f>
        <v>Sat</v>
      </c>
      <c r="I185" s="5">
        <v>3</v>
      </c>
      <c r="J185" s="5" t="str">
        <f>_xlfn.XLOOKUP(call_center_data[[#This Row],[product_id]],Table2[Product_ID],Table2[Product_Name])</f>
        <v>Property Loan</v>
      </c>
      <c r="K185" s="5">
        <v>20</v>
      </c>
      <c r="L185" s="7">
        <v>25</v>
      </c>
      <c r="M185" s="8">
        <f>call_center_data[[#This Row],[avg_ht]]/86400</f>
        <v>2.8935185185185184E-4</v>
      </c>
      <c r="N185" s="5">
        <v>82</v>
      </c>
      <c r="O185" s="5">
        <v>5</v>
      </c>
    </row>
    <row r="186" spans="2:15" x14ac:dyDescent="0.25">
      <c r="B186" s="5">
        <v>2</v>
      </c>
      <c r="C186" s="5" t="str">
        <f>_xlfn.XLOOKUP(call_center_data[[#This Row],[agent_id]],Table1[Agent ID],Table1[Full Name])</f>
        <v>Josh Vega</v>
      </c>
      <c r="D186" s="5" t="str">
        <f>_xlfn.XLOOKUP(call_center_data[[#This Row],[agent_id]],Table1[Agent ID],Table1[Supervisor])</f>
        <v>Carol Mario</v>
      </c>
      <c r="E186" s="6">
        <f>_xlfn.XLOOKUP(call_center_data[[#This Row],[agent_id]],Table1[Agent ID],Table1[Hire Date])</f>
        <v>43687</v>
      </c>
      <c r="F186" s="7">
        <f>DATEDIF(call_center_data[[#This Row],[Hire Date]],$Q$6,"M")</f>
        <v>22</v>
      </c>
      <c r="G186" s="6">
        <v>44351</v>
      </c>
      <c r="H186" s="6" t="str">
        <f>TEXT(call_center_data[[#This Row],[date]],"DDD")</f>
        <v>Fri</v>
      </c>
      <c r="I186" s="5">
        <v>2</v>
      </c>
      <c r="J186" s="5" t="str">
        <f>_xlfn.XLOOKUP(call_center_data[[#This Row],[product_id]],Table2[Product_ID],Table2[Product_Name])</f>
        <v>Car Loan</v>
      </c>
      <c r="K186" s="5">
        <v>20</v>
      </c>
      <c r="L186" s="7">
        <v>8</v>
      </c>
      <c r="M186" s="8">
        <f>call_center_data[[#This Row],[avg_ht]]/86400</f>
        <v>9.2592592592592588E-5</v>
      </c>
      <c r="N186" s="5">
        <v>34</v>
      </c>
      <c r="O186" s="5">
        <v>8</v>
      </c>
    </row>
    <row r="187" spans="2:15" x14ac:dyDescent="0.25">
      <c r="B187" s="5">
        <v>1</v>
      </c>
      <c r="C187" s="5" t="str">
        <f>_xlfn.XLOOKUP(call_center_data[[#This Row],[agent_id]],Table1[Agent ID],Table1[Full Name])</f>
        <v>Lisa Diaz</v>
      </c>
      <c r="D187" s="5" t="str">
        <f>_xlfn.XLOOKUP(call_center_data[[#This Row],[agent_id]],Table1[Agent ID],Table1[Supervisor])</f>
        <v>Carol Mario</v>
      </c>
      <c r="E187" s="6">
        <f>_xlfn.XLOOKUP(call_center_data[[#This Row],[agent_id]],Table1[Agent ID],Table1[Hire Date])</f>
        <v>43625</v>
      </c>
      <c r="F187" s="7">
        <f>DATEDIF(call_center_data[[#This Row],[Hire Date]],$Q$6,"M")</f>
        <v>24</v>
      </c>
      <c r="G187" s="6">
        <v>44363</v>
      </c>
      <c r="H187" s="6" t="str">
        <f>TEXT(call_center_data[[#This Row],[date]],"DDD")</f>
        <v>Wed</v>
      </c>
      <c r="I187" s="5">
        <v>1</v>
      </c>
      <c r="J187" s="5" t="str">
        <f>_xlfn.XLOOKUP(call_center_data[[#This Row],[product_id]],Table2[Product_ID],Table2[Product_Name])</f>
        <v>Personal Loan</v>
      </c>
      <c r="K187" s="5">
        <v>4</v>
      </c>
      <c r="L187" s="7">
        <v>1942</v>
      </c>
      <c r="M187" s="8">
        <f>call_center_data[[#This Row],[avg_ht]]/86400</f>
        <v>2.2476851851851852E-2</v>
      </c>
      <c r="N187" s="5">
        <v>33</v>
      </c>
      <c r="O187" s="5">
        <v>9</v>
      </c>
    </row>
    <row r="188" spans="2:15" x14ac:dyDescent="0.25">
      <c r="B188" s="5">
        <v>8</v>
      </c>
      <c r="C188" s="5" t="str">
        <f>_xlfn.XLOOKUP(call_center_data[[#This Row],[agent_id]],Table1[Agent ID],Table1[Full Name])</f>
        <v>Rachel Delos Santos</v>
      </c>
      <c r="D188" s="5" t="str">
        <f>_xlfn.XLOOKUP(call_center_data[[#This Row],[agent_id]],Table1[Agent ID],Table1[Supervisor])</f>
        <v>Carol Mario</v>
      </c>
      <c r="E188" s="6">
        <f>_xlfn.XLOOKUP(call_center_data[[#This Row],[agent_id]],Table1[Agent ID],Table1[Hire Date])</f>
        <v>44212</v>
      </c>
      <c r="F188" s="7">
        <f>DATEDIF(call_center_data[[#This Row],[Hire Date]],$Q$6,"M")</f>
        <v>5</v>
      </c>
      <c r="G188" s="6">
        <v>44369</v>
      </c>
      <c r="H188" s="6" t="str">
        <f>TEXT(call_center_data[[#This Row],[date]],"DDD")</f>
        <v>Tue</v>
      </c>
      <c r="I188" s="5">
        <v>2</v>
      </c>
      <c r="J188" s="5" t="str">
        <f>_xlfn.XLOOKUP(call_center_data[[#This Row],[product_id]],Table2[Product_ID],Table2[Product_Name])</f>
        <v>Car Loan</v>
      </c>
      <c r="K188" s="5">
        <v>26</v>
      </c>
      <c r="L188" s="7">
        <v>197</v>
      </c>
      <c r="M188" s="8">
        <f>call_center_data[[#This Row],[avg_ht]]/86400</f>
        <v>2.2800925925925927E-3</v>
      </c>
      <c r="N188" s="5">
        <v>64</v>
      </c>
      <c r="O188" s="5">
        <v>7</v>
      </c>
    </row>
    <row r="189" spans="2:15" x14ac:dyDescent="0.25">
      <c r="B189" s="5">
        <v>5</v>
      </c>
      <c r="C189" s="5" t="str">
        <f>_xlfn.XLOOKUP(call_center_data[[#This Row],[agent_id]],Table1[Agent ID],Table1[Full Name])</f>
        <v>Eric Molina</v>
      </c>
      <c r="D189" s="5" t="str">
        <f>_xlfn.XLOOKUP(call_center_data[[#This Row],[agent_id]],Table1[Agent ID],Table1[Supervisor])</f>
        <v>Lester De Mesa</v>
      </c>
      <c r="E189" s="6">
        <f>_xlfn.XLOOKUP(call_center_data[[#This Row],[agent_id]],Table1[Agent ID],Table1[Hire Date])</f>
        <v>43966</v>
      </c>
      <c r="F189" s="7">
        <f>DATEDIF(call_center_data[[#This Row],[Hire Date]],$Q$6,"M")</f>
        <v>13</v>
      </c>
      <c r="G189" s="6">
        <v>44371</v>
      </c>
      <c r="H189" s="6" t="str">
        <f>TEXT(call_center_data[[#This Row],[date]],"DDD")</f>
        <v>Thu</v>
      </c>
      <c r="I189" s="5">
        <v>1</v>
      </c>
      <c r="J189" s="5" t="str">
        <f>_xlfn.XLOOKUP(call_center_data[[#This Row],[product_id]],Table2[Product_ID],Table2[Product_Name])</f>
        <v>Personal Loan</v>
      </c>
      <c r="K189" s="5">
        <v>20</v>
      </c>
      <c r="L189" s="7">
        <v>1382</v>
      </c>
      <c r="M189" s="8">
        <f>call_center_data[[#This Row],[avg_ht]]/86400</f>
        <v>1.5995370370370372E-2</v>
      </c>
      <c r="N189" s="5">
        <v>83</v>
      </c>
      <c r="O189" s="5">
        <v>6</v>
      </c>
    </row>
    <row r="190" spans="2:15" x14ac:dyDescent="0.25">
      <c r="B190" s="5">
        <v>2</v>
      </c>
      <c r="C190" s="5" t="str">
        <f>_xlfn.XLOOKUP(call_center_data[[#This Row],[agent_id]],Table1[Agent ID],Table1[Full Name])</f>
        <v>Josh Vega</v>
      </c>
      <c r="D190" s="5" t="str">
        <f>_xlfn.XLOOKUP(call_center_data[[#This Row],[agent_id]],Table1[Agent ID],Table1[Supervisor])</f>
        <v>Carol Mario</v>
      </c>
      <c r="E190" s="6">
        <f>_xlfn.XLOOKUP(call_center_data[[#This Row],[agent_id]],Table1[Agent ID],Table1[Hire Date])</f>
        <v>43687</v>
      </c>
      <c r="F190" s="7">
        <f>DATEDIF(call_center_data[[#This Row],[Hire Date]],$Q$6,"M")</f>
        <v>22</v>
      </c>
      <c r="G190" s="6">
        <v>44364</v>
      </c>
      <c r="H190" s="6" t="str">
        <f>TEXT(call_center_data[[#This Row],[date]],"DDD")</f>
        <v>Thu</v>
      </c>
      <c r="I190" s="5">
        <v>3</v>
      </c>
      <c r="J190" s="5" t="str">
        <f>_xlfn.XLOOKUP(call_center_data[[#This Row],[product_id]],Table2[Product_ID],Table2[Product_Name])</f>
        <v>Property Loan</v>
      </c>
      <c r="K190" s="5">
        <v>5</v>
      </c>
      <c r="L190" s="7">
        <v>107</v>
      </c>
      <c r="M190" s="8">
        <f>call_center_data[[#This Row],[avg_ht]]/86400</f>
        <v>1.238425925925926E-3</v>
      </c>
      <c r="N190" s="5">
        <v>72</v>
      </c>
      <c r="O190" s="5">
        <v>6</v>
      </c>
    </row>
    <row r="191" spans="2:15" x14ac:dyDescent="0.25">
      <c r="B191" s="5">
        <v>6</v>
      </c>
      <c r="C191" s="5" t="str">
        <f>_xlfn.XLOOKUP(call_center_data[[#This Row],[agent_id]],Table1[Agent ID],Table1[Full Name])</f>
        <v>Jane Hernandez</v>
      </c>
      <c r="D191" s="5" t="str">
        <f>_xlfn.XLOOKUP(call_center_data[[#This Row],[agent_id]],Table1[Agent ID],Table1[Supervisor])</f>
        <v>Lester De Mesa</v>
      </c>
      <c r="E191" s="6">
        <f>_xlfn.XLOOKUP(call_center_data[[#This Row],[agent_id]],Table1[Agent ID],Table1[Hire Date])</f>
        <v>44116</v>
      </c>
      <c r="F191" s="7">
        <f>DATEDIF(call_center_data[[#This Row],[Hire Date]],$Q$6,"M")</f>
        <v>8</v>
      </c>
      <c r="G191" s="6">
        <v>44372</v>
      </c>
      <c r="H191" s="6" t="str">
        <f>TEXT(call_center_data[[#This Row],[date]],"DDD")</f>
        <v>Fri</v>
      </c>
      <c r="I191" s="5">
        <v>3</v>
      </c>
      <c r="J191" s="5" t="str">
        <f>_xlfn.XLOOKUP(call_center_data[[#This Row],[product_id]],Table2[Product_ID],Table2[Product_Name])</f>
        <v>Property Loan</v>
      </c>
      <c r="K191" s="5">
        <v>30</v>
      </c>
      <c r="L191" s="7">
        <v>331</v>
      </c>
      <c r="M191" s="8">
        <f>call_center_data[[#This Row],[avg_ht]]/86400</f>
        <v>3.8310185185185183E-3</v>
      </c>
      <c r="N191" s="5">
        <v>90</v>
      </c>
      <c r="O191" s="5">
        <v>5</v>
      </c>
    </row>
    <row r="192" spans="2:15" x14ac:dyDescent="0.25">
      <c r="B192" s="5">
        <v>2</v>
      </c>
      <c r="C192" s="5" t="str">
        <f>_xlfn.XLOOKUP(call_center_data[[#This Row],[agent_id]],Table1[Agent ID],Table1[Full Name])</f>
        <v>Josh Vega</v>
      </c>
      <c r="D192" s="5" t="str">
        <f>_xlfn.XLOOKUP(call_center_data[[#This Row],[agent_id]],Table1[Agent ID],Table1[Supervisor])</f>
        <v>Carol Mario</v>
      </c>
      <c r="E192" s="6">
        <f>_xlfn.XLOOKUP(call_center_data[[#This Row],[agent_id]],Table1[Agent ID],Table1[Hire Date])</f>
        <v>43687</v>
      </c>
      <c r="F192" s="7">
        <f>DATEDIF(call_center_data[[#This Row],[Hire Date]],$Q$6,"M")</f>
        <v>22</v>
      </c>
      <c r="G192" s="6">
        <v>44369</v>
      </c>
      <c r="H192" s="6" t="str">
        <f>TEXT(call_center_data[[#This Row],[date]],"DDD")</f>
        <v>Tue</v>
      </c>
      <c r="I192" s="5">
        <v>2</v>
      </c>
      <c r="J192" s="5" t="str">
        <f>_xlfn.XLOOKUP(call_center_data[[#This Row],[product_id]],Table2[Product_ID],Table2[Product_Name])</f>
        <v>Car Loan</v>
      </c>
      <c r="K192" s="5">
        <v>4</v>
      </c>
      <c r="L192" s="7">
        <v>262</v>
      </c>
      <c r="M192" s="8">
        <f>call_center_data[[#This Row],[avg_ht]]/86400</f>
        <v>3.0324074074074073E-3</v>
      </c>
      <c r="N192" s="5">
        <v>62</v>
      </c>
      <c r="O192" s="5">
        <v>7</v>
      </c>
    </row>
    <row r="193" spans="2:15" x14ac:dyDescent="0.25">
      <c r="B193" s="5">
        <v>5</v>
      </c>
      <c r="C193" s="5" t="str">
        <f>_xlfn.XLOOKUP(call_center_data[[#This Row],[agent_id]],Table1[Agent ID],Table1[Full Name])</f>
        <v>Eric Molina</v>
      </c>
      <c r="D193" s="5" t="str">
        <f>_xlfn.XLOOKUP(call_center_data[[#This Row],[agent_id]],Table1[Agent ID],Table1[Supervisor])</f>
        <v>Lester De Mesa</v>
      </c>
      <c r="E193" s="6">
        <f>_xlfn.XLOOKUP(call_center_data[[#This Row],[agent_id]],Table1[Agent ID],Table1[Hire Date])</f>
        <v>43966</v>
      </c>
      <c r="F193" s="7">
        <f>DATEDIF(call_center_data[[#This Row],[Hire Date]],$Q$6,"M")</f>
        <v>13</v>
      </c>
      <c r="G193" s="6">
        <v>44359</v>
      </c>
      <c r="H193" s="6" t="str">
        <f>TEXT(call_center_data[[#This Row],[date]],"DDD")</f>
        <v>Sat</v>
      </c>
      <c r="I193" s="5">
        <v>1</v>
      </c>
      <c r="J193" s="5" t="str">
        <f>_xlfn.XLOOKUP(call_center_data[[#This Row],[product_id]],Table2[Product_ID],Table2[Product_Name])</f>
        <v>Personal Loan</v>
      </c>
      <c r="K193" s="5">
        <v>29</v>
      </c>
      <c r="L193" s="7">
        <v>1399</v>
      </c>
      <c r="M193" s="8">
        <f>call_center_data[[#This Row],[avg_ht]]/86400</f>
        <v>1.6192129629629629E-2</v>
      </c>
      <c r="N193" s="5">
        <v>37</v>
      </c>
      <c r="O193" s="5">
        <v>8</v>
      </c>
    </row>
    <row r="194" spans="2:15" x14ac:dyDescent="0.25">
      <c r="B194" s="5">
        <v>7</v>
      </c>
      <c r="C194" s="5" t="str">
        <f>_xlfn.XLOOKUP(call_center_data[[#This Row],[agent_id]],Table1[Agent ID],Table1[Full Name])</f>
        <v>Peter Rivera</v>
      </c>
      <c r="D194" s="5" t="str">
        <f>_xlfn.XLOOKUP(call_center_data[[#This Row],[agent_id]],Table1[Agent ID],Table1[Supervisor])</f>
        <v>Carol Mario</v>
      </c>
      <c r="E194" s="6">
        <f>_xlfn.XLOOKUP(call_center_data[[#This Row],[agent_id]],Table1[Agent ID],Table1[Hire Date])</f>
        <v>44170</v>
      </c>
      <c r="F194" s="7">
        <f>DATEDIF(call_center_data[[#This Row],[Hire Date]],$Q$6,"M")</f>
        <v>6</v>
      </c>
      <c r="G194" s="6">
        <v>44373</v>
      </c>
      <c r="H194" s="6" t="str">
        <f>TEXT(call_center_data[[#This Row],[date]],"DDD")</f>
        <v>Sat</v>
      </c>
      <c r="I194" s="5">
        <v>2</v>
      </c>
      <c r="J194" s="5" t="str">
        <f>_xlfn.XLOOKUP(call_center_data[[#This Row],[product_id]],Table2[Product_ID],Table2[Product_Name])</f>
        <v>Car Loan</v>
      </c>
      <c r="K194" s="5">
        <v>30</v>
      </c>
      <c r="L194" s="7">
        <v>254</v>
      </c>
      <c r="M194" s="8">
        <f>call_center_data[[#This Row],[avg_ht]]/86400</f>
        <v>2.9398148148148148E-3</v>
      </c>
      <c r="N194" s="5">
        <v>28</v>
      </c>
      <c r="O194" s="5">
        <v>8</v>
      </c>
    </row>
    <row r="195" spans="2:15" x14ac:dyDescent="0.25">
      <c r="B195" s="5">
        <v>5</v>
      </c>
      <c r="C195" s="5" t="str">
        <f>_xlfn.XLOOKUP(call_center_data[[#This Row],[agent_id]],Table1[Agent ID],Table1[Full Name])</f>
        <v>Eric Molina</v>
      </c>
      <c r="D195" s="5" t="str">
        <f>_xlfn.XLOOKUP(call_center_data[[#This Row],[agent_id]],Table1[Agent ID],Table1[Supervisor])</f>
        <v>Lester De Mesa</v>
      </c>
      <c r="E195" s="6">
        <f>_xlfn.XLOOKUP(call_center_data[[#This Row],[agent_id]],Table1[Agent ID],Table1[Hire Date])</f>
        <v>43966</v>
      </c>
      <c r="F195" s="7">
        <f>DATEDIF(call_center_data[[#This Row],[Hire Date]],$Q$6,"M")</f>
        <v>13</v>
      </c>
      <c r="G195" s="6">
        <v>44368</v>
      </c>
      <c r="H195" s="6" t="str">
        <f>TEXT(call_center_data[[#This Row],[date]],"DDD")</f>
        <v>Mon</v>
      </c>
      <c r="I195" s="5">
        <v>1</v>
      </c>
      <c r="J195" s="5" t="str">
        <f>_xlfn.XLOOKUP(call_center_data[[#This Row],[product_id]],Table2[Product_ID],Table2[Product_Name])</f>
        <v>Personal Loan</v>
      </c>
      <c r="K195" s="5">
        <v>19</v>
      </c>
      <c r="L195" s="7">
        <v>1566</v>
      </c>
      <c r="M195" s="8">
        <f>call_center_data[[#This Row],[avg_ht]]/86400</f>
        <v>1.8124999999999999E-2</v>
      </c>
      <c r="N195" s="5">
        <v>26</v>
      </c>
      <c r="O195" s="5">
        <v>9</v>
      </c>
    </row>
    <row r="196" spans="2:15" x14ac:dyDescent="0.25">
      <c r="B196" s="5">
        <v>9</v>
      </c>
      <c r="C196" s="5" t="str">
        <f>_xlfn.XLOOKUP(call_center_data[[#This Row],[agent_id]],Table1[Agent ID],Table1[Full Name])</f>
        <v>Cherry Castillo</v>
      </c>
      <c r="D196" s="5" t="str">
        <f>_xlfn.XLOOKUP(call_center_data[[#This Row],[agent_id]],Table1[Agent ID],Table1[Supervisor])</f>
        <v>Lester De Mesa</v>
      </c>
      <c r="E196" s="6">
        <f>_xlfn.XLOOKUP(call_center_data[[#This Row],[agent_id]],Table1[Agent ID],Table1[Hire Date])</f>
        <v>44226</v>
      </c>
      <c r="F196" s="7">
        <f>DATEDIF(call_center_data[[#This Row],[Hire Date]],$Q$6,"M")</f>
        <v>5</v>
      </c>
      <c r="G196" s="6">
        <v>44359</v>
      </c>
      <c r="H196" s="6" t="str">
        <f>TEXT(call_center_data[[#This Row],[date]],"DDD")</f>
        <v>Sat</v>
      </c>
      <c r="I196" s="5">
        <v>2</v>
      </c>
      <c r="J196" s="5" t="str">
        <f>_xlfn.XLOOKUP(call_center_data[[#This Row],[product_id]],Table2[Product_ID],Table2[Product_Name])</f>
        <v>Car Loan</v>
      </c>
      <c r="K196" s="5">
        <v>37</v>
      </c>
      <c r="L196" s="7">
        <v>449</v>
      </c>
      <c r="M196" s="8">
        <f>call_center_data[[#This Row],[avg_ht]]/86400</f>
        <v>5.1967592592592595E-3</v>
      </c>
      <c r="N196" s="5">
        <v>87</v>
      </c>
      <c r="O196" s="5">
        <v>5</v>
      </c>
    </row>
    <row r="197" spans="2:15" x14ac:dyDescent="0.25">
      <c r="B197" s="5">
        <v>5</v>
      </c>
      <c r="C197" s="5" t="str">
        <f>_xlfn.XLOOKUP(call_center_data[[#This Row],[agent_id]],Table1[Agent ID],Table1[Full Name])</f>
        <v>Eric Molina</v>
      </c>
      <c r="D197" s="5" t="str">
        <f>_xlfn.XLOOKUP(call_center_data[[#This Row],[agent_id]],Table1[Agent ID],Table1[Supervisor])</f>
        <v>Lester De Mesa</v>
      </c>
      <c r="E197" s="6">
        <f>_xlfn.XLOOKUP(call_center_data[[#This Row],[agent_id]],Table1[Agent ID],Table1[Hire Date])</f>
        <v>43966</v>
      </c>
      <c r="F197" s="7">
        <f>DATEDIF(call_center_data[[#This Row],[Hire Date]],$Q$6,"M")</f>
        <v>13</v>
      </c>
      <c r="G197" s="6">
        <v>44373</v>
      </c>
      <c r="H197" s="6" t="str">
        <f>TEXT(call_center_data[[#This Row],[date]],"DDD")</f>
        <v>Sat</v>
      </c>
      <c r="I197" s="5">
        <v>3</v>
      </c>
      <c r="J197" s="5" t="str">
        <f>_xlfn.XLOOKUP(call_center_data[[#This Row],[product_id]],Table2[Product_ID],Table2[Product_Name])</f>
        <v>Property Loan</v>
      </c>
      <c r="K197" s="5">
        <v>26</v>
      </c>
      <c r="L197" s="7">
        <v>518</v>
      </c>
      <c r="M197" s="8">
        <f>call_center_data[[#This Row],[avg_ht]]/86400</f>
        <v>5.9953703703703705E-3</v>
      </c>
      <c r="N197" s="5">
        <v>43</v>
      </c>
      <c r="O197" s="5">
        <v>8</v>
      </c>
    </row>
    <row r="198" spans="2:15" x14ac:dyDescent="0.25">
      <c r="B198" s="5">
        <v>5</v>
      </c>
      <c r="C198" s="5" t="str">
        <f>_xlfn.XLOOKUP(call_center_data[[#This Row],[agent_id]],Table1[Agent ID],Table1[Full Name])</f>
        <v>Eric Molina</v>
      </c>
      <c r="D198" s="5" t="str">
        <f>_xlfn.XLOOKUP(call_center_data[[#This Row],[agent_id]],Table1[Agent ID],Table1[Supervisor])</f>
        <v>Lester De Mesa</v>
      </c>
      <c r="E198" s="6">
        <f>_xlfn.XLOOKUP(call_center_data[[#This Row],[agent_id]],Table1[Agent ID],Table1[Hire Date])</f>
        <v>43966</v>
      </c>
      <c r="F198" s="7">
        <f>DATEDIF(call_center_data[[#This Row],[Hire Date]],$Q$6,"M")</f>
        <v>13</v>
      </c>
      <c r="G198" s="6">
        <v>44354</v>
      </c>
      <c r="H198" s="6" t="str">
        <f>TEXT(call_center_data[[#This Row],[date]],"DDD")</f>
        <v>Mon</v>
      </c>
      <c r="I198" s="5">
        <v>2</v>
      </c>
      <c r="J198" s="5" t="str">
        <f>_xlfn.XLOOKUP(call_center_data[[#This Row],[product_id]],Table2[Product_ID],Table2[Product_Name])</f>
        <v>Car Loan</v>
      </c>
      <c r="K198" s="5">
        <v>22</v>
      </c>
      <c r="L198" s="7">
        <v>508</v>
      </c>
      <c r="M198" s="8">
        <f>call_center_data[[#This Row],[avg_ht]]/86400</f>
        <v>5.8796296296296296E-3</v>
      </c>
      <c r="N198" s="5">
        <v>10</v>
      </c>
      <c r="O198" s="5">
        <v>10</v>
      </c>
    </row>
    <row r="199" spans="2:15" x14ac:dyDescent="0.25">
      <c r="B199" s="5">
        <v>9</v>
      </c>
      <c r="C199" s="5" t="str">
        <f>_xlfn.XLOOKUP(call_center_data[[#This Row],[agent_id]],Table1[Agent ID],Table1[Full Name])</f>
        <v>Cherry Castillo</v>
      </c>
      <c r="D199" s="5" t="str">
        <f>_xlfn.XLOOKUP(call_center_data[[#This Row],[agent_id]],Table1[Agent ID],Table1[Supervisor])</f>
        <v>Lester De Mesa</v>
      </c>
      <c r="E199" s="6">
        <f>_xlfn.XLOOKUP(call_center_data[[#This Row],[agent_id]],Table1[Agent ID],Table1[Hire Date])</f>
        <v>44226</v>
      </c>
      <c r="F199" s="7">
        <f>DATEDIF(call_center_data[[#This Row],[Hire Date]],$Q$6,"M")</f>
        <v>5</v>
      </c>
      <c r="G199" s="6">
        <v>44368</v>
      </c>
      <c r="H199" s="6" t="str">
        <f>TEXT(call_center_data[[#This Row],[date]],"DDD")</f>
        <v>Mon</v>
      </c>
      <c r="I199" s="5">
        <v>2</v>
      </c>
      <c r="J199" s="5" t="str">
        <f>_xlfn.XLOOKUP(call_center_data[[#This Row],[product_id]],Table2[Product_ID],Table2[Product_Name])</f>
        <v>Car Loan</v>
      </c>
      <c r="K199" s="5">
        <v>36</v>
      </c>
      <c r="L199" s="7">
        <v>364</v>
      </c>
      <c r="M199" s="8">
        <f>call_center_data[[#This Row],[avg_ht]]/86400</f>
        <v>4.2129629629629626E-3</v>
      </c>
      <c r="N199" s="5">
        <v>57</v>
      </c>
      <c r="O199" s="5">
        <v>7</v>
      </c>
    </row>
    <row r="200" spans="2:15" x14ac:dyDescent="0.25">
      <c r="B200" s="5">
        <v>3</v>
      </c>
      <c r="C200" s="5" t="str">
        <f>_xlfn.XLOOKUP(call_center_data[[#This Row],[agent_id]],Table1[Agent ID],Table1[Full Name])</f>
        <v>Cecille Chen</v>
      </c>
      <c r="D200" s="5" t="str">
        <f>_xlfn.XLOOKUP(call_center_data[[#This Row],[agent_id]],Table1[Agent ID],Table1[Supervisor])</f>
        <v>Lester De Mesa</v>
      </c>
      <c r="E200" s="6">
        <f>_xlfn.XLOOKUP(call_center_data[[#This Row],[agent_id]],Table1[Agent ID],Table1[Hire Date])</f>
        <v>43727</v>
      </c>
      <c r="F200" s="7">
        <f>DATEDIF(call_center_data[[#This Row],[Hire Date]],$Q$6,"M")</f>
        <v>21</v>
      </c>
      <c r="G200" s="6">
        <v>44367</v>
      </c>
      <c r="H200" s="6" t="str">
        <f>TEXT(call_center_data[[#This Row],[date]],"DDD")</f>
        <v>Sun</v>
      </c>
      <c r="I200" s="5">
        <v>1</v>
      </c>
      <c r="J200" s="5" t="str">
        <f>_xlfn.XLOOKUP(call_center_data[[#This Row],[product_id]],Table2[Product_ID],Table2[Product_Name])</f>
        <v>Personal Loan</v>
      </c>
      <c r="K200" s="5">
        <v>14</v>
      </c>
      <c r="L200" s="7">
        <v>1562</v>
      </c>
      <c r="M200" s="8">
        <f>call_center_data[[#This Row],[avg_ht]]/86400</f>
        <v>1.8078703703703704E-2</v>
      </c>
      <c r="N200" s="5">
        <v>38</v>
      </c>
      <c r="O200" s="5">
        <v>9</v>
      </c>
    </row>
    <row r="201" spans="2:15" x14ac:dyDescent="0.25">
      <c r="B201" s="5">
        <v>10</v>
      </c>
      <c r="C201" s="5" t="str">
        <f>_xlfn.XLOOKUP(call_center_data[[#This Row],[agent_id]],Table1[Agent ID],Table1[Full Name])</f>
        <v>Mark Ventura</v>
      </c>
      <c r="D201" s="5" t="str">
        <f>_xlfn.XLOOKUP(call_center_data[[#This Row],[agent_id]],Table1[Agent ID],Table1[Supervisor])</f>
        <v>Lester De Mesa</v>
      </c>
      <c r="E201" s="6">
        <f>_xlfn.XLOOKUP(call_center_data[[#This Row],[agent_id]],Table1[Agent ID],Table1[Hire Date])</f>
        <v>44238</v>
      </c>
      <c r="F201" s="7">
        <f>DATEDIF(call_center_data[[#This Row],[Hire Date]],$Q$6,"M")</f>
        <v>4</v>
      </c>
      <c r="G201" s="6">
        <v>44358</v>
      </c>
      <c r="H201" s="6" t="str">
        <f>TEXT(call_center_data[[#This Row],[date]],"DDD")</f>
        <v>Fri</v>
      </c>
      <c r="I201" s="5">
        <v>2</v>
      </c>
      <c r="J201" s="5" t="str">
        <f>_xlfn.XLOOKUP(call_center_data[[#This Row],[product_id]],Table2[Product_ID],Table2[Product_Name])</f>
        <v>Car Loan</v>
      </c>
      <c r="K201" s="5">
        <v>32</v>
      </c>
      <c r="L201" s="7">
        <v>200</v>
      </c>
      <c r="M201" s="8">
        <f>call_center_data[[#This Row],[avg_ht]]/86400</f>
        <v>2.3148148148148147E-3</v>
      </c>
      <c r="N201" s="5">
        <v>56</v>
      </c>
      <c r="O201" s="5">
        <v>7</v>
      </c>
    </row>
    <row r="202" spans="2:15" x14ac:dyDescent="0.25">
      <c r="B202" s="5">
        <v>4</v>
      </c>
      <c r="C202" s="5" t="str">
        <f>_xlfn.XLOOKUP(call_center_data[[#This Row],[agent_id]],Table1[Agent ID],Table1[Full Name])</f>
        <v>Jay Alvarez</v>
      </c>
      <c r="D202" s="5" t="str">
        <f>_xlfn.XLOOKUP(call_center_data[[#This Row],[agent_id]],Table1[Agent ID],Table1[Supervisor])</f>
        <v>Carol Mario</v>
      </c>
      <c r="E202" s="6">
        <f>_xlfn.XLOOKUP(call_center_data[[#This Row],[agent_id]],Table1[Agent ID],Table1[Hire Date])</f>
        <v>43871</v>
      </c>
      <c r="F202" s="7">
        <f>DATEDIF(call_center_data[[#This Row],[Hire Date]],$Q$6,"M")</f>
        <v>16</v>
      </c>
      <c r="G202" s="6">
        <v>44367</v>
      </c>
      <c r="H202" s="6" t="str">
        <f>TEXT(call_center_data[[#This Row],[date]],"DDD")</f>
        <v>Sun</v>
      </c>
      <c r="I202" s="5">
        <v>2</v>
      </c>
      <c r="J202" s="5" t="str">
        <f>_xlfn.XLOOKUP(call_center_data[[#This Row],[product_id]],Table2[Product_ID],Table2[Product_Name])</f>
        <v>Car Loan</v>
      </c>
      <c r="K202" s="5">
        <v>13</v>
      </c>
      <c r="L202" s="7">
        <v>219</v>
      </c>
      <c r="M202" s="8">
        <f>call_center_data[[#This Row],[avg_ht]]/86400</f>
        <v>2.5347222222222221E-3</v>
      </c>
      <c r="N202" s="5">
        <v>34</v>
      </c>
      <c r="O202" s="5">
        <v>8</v>
      </c>
    </row>
    <row r="203" spans="2:15" x14ac:dyDescent="0.25">
      <c r="B203" s="5">
        <v>6</v>
      </c>
      <c r="C203" s="5" t="str">
        <f>_xlfn.XLOOKUP(call_center_data[[#This Row],[agent_id]],Table1[Agent ID],Table1[Full Name])</f>
        <v>Jane Hernandez</v>
      </c>
      <c r="D203" s="5" t="str">
        <f>_xlfn.XLOOKUP(call_center_data[[#This Row],[agent_id]],Table1[Agent ID],Table1[Supervisor])</f>
        <v>Lester De Mesa</v>
      </c>
      <c r="E203" s="6">
        <f>_xlfn.XLOOKUP(call_center_data[[#This Row],[agent_id]],Table1[Agent ID],Table1[Hire Date])</f>
        <v>44116</v>
      </c>
      <c r="F203" s="7">
        <f>DATEDIF(call_center_data[[#This Row],[Hire Date]],$Q$6,"M")</f>
        <v>8</v>
      </c>
      <c r="G203" s="6">
        <v>44355</v>
      </c>
      <c r="H203" s="6" t="str">
        <f>TEXT(call_center_data[[#This Row],[date]],"DDD")</f>
        <v>Tue</v>
      </c>
      <c r="I203" s="5">
        <v>1</v>
      </c>
      <c r="J203" s="5" t="str">
        <f>_xlfn.XLOOKUP(call_center_data[[#This Row],[product_id]],Table2[Product_ID],Table2[Product_Name])</f>
        <v>Personal Loan</v>
      </c>
      <c r="K203" s="5">
        <v>16</v>
      </c>
      <c r="L203" s="7">
        <v>1091</v>
      </c>
      <c r="M203" s="8">
        <f>call_center_data[[#This Row],[avg_ht]]/86400</f>
        <v>1.2627314814814815E-2</v>
      </c>
      <c r="N203" s="5">
        <v>60</v>
      </c>
      <c r="O203" s="5">
        <v>7</v>
      </c>
    </row>
    <row r="204" spans="2:15" x14ac:dyDescent="0.25">
      <c r="B204" s="5">
        <v>7</v>
      </c>
      <c r="C204" s="5" t="str">
        <f>_xlfn.XLOOKUP(call_center_data[[#This Row],[agent_id]],Table1[Agent ID],Table1[Full Name])</f>
        <v>Peter Rivera</v>
      </c>
      <c r="D204" s="5" t="str">
        <f>_xlfn.XLOOKUP(call_center_data[[#This Row],[agent_id]],Table1[Agent ID],Table1[Supervisor])</f>
        <v>Carol Mario</v>
      </c>
      <c r="E204" s="6">
        <f>_xlfn.XLOOKUP(call_center_data[[#This Row],[agent_id]],Table1[Agent ID],Table1[Hire Date])</f>
        <v>44170</v>
      </c>
      <c r="F204" s="7">
        <f>DATEDIF(call_center_data[[#This Row],[Hire Date]],$Q$6,"M")</f>
        <v>6</v>
      </c>
      <c r="G204" s="6">
        <v>44348</v>
      </c>
      <c r="H204" s="6" t="str">
        <f>TEXT(call_center_data[[#This Row],[date]],"DDD")</f>
        <v>Tue</v>
      </c>
      <c r="I204" s="5">
        <v>1</v>
      </c>
      <c r="J204" s="5" t="str">
        <f>_xlfn.XLOOKUP(call_center_data[[#This Row],[product_id]],Table2[Product_ID],Table2[Product_Name])</f>
        <v>Personal Loan</v>
      </c>
      <c r="K204" s="5">
        <v>28</v>
      </c>
      <c r="L204" s="7">
        <v>1802</v>
      </c>
      <c r="M204" s="8">
        <f>call_center_data[[#This Row],[avg_ht]]/86400</f>
        <v>2.0856481481481483E-2</v>
      </c>
      <c r="N204" s="5">
        <v>30</v>
      </c>
      <c r="O204" s="5">
        <v>10</v>
      </c>
    </row>
    <row r="205" spans="2:15" x14ac:dyDescent="0.25">
      <c r="B205" s="5">
        <v>6</v>
      </c>
      <c r="C205" s="5" t="str">
        <f>_xlfn.XLOOKUP(call_center_data[[#This Row],[agent_id]],Table1[Agent ID],Table1[Full Name])</f>
        <v>Jane Hernandez</v>
      </c>
      <c r="D205" s="5" t="str">
        <f>_xlfn.XLOOKUP(call_center_data[[#This Row],[agent_id]],Table1[Agent ID],Table1[Supervisor])</f>
        <v>Lester De Mesa</v>
      </c>
      <c r="E205" s="6">
        <f>_xlfn.XLOOKUP(call_center_data[[#This Row],[agent_id]],Table1[Agent ID],Table1[Hire Date])</f>
        <v>44116</v>
      </c>
      <c r="F205" s="7">
        <f>DATEDIF(call_center_data[[#This Row],[Hire Date]],$Q$6,"M")</f>
        <v>8</v>
      </c>
      <c r="G205" s="6">
        <v>44359</v>
      </c>
      <c r="H205" s="6" t="str">
        <f>TEXT(call_center_data[[#This Row],[date]],"DDD")</f>
        <v>Sat</v>
      </c>
      <c r="I205" s="5">
        <v>2</v>
      </c>
      <c r="J205" s="5" t="str">
        <f>_xlfn.XLOOKUP(call_center_data[[#This Row],[product_id]],Table2[Product_ID],Table2[Product_Name])</f>
        <v>Car Loan</v>
      </c>
      <c r="K205" s="5">
        <v>23</v>
      </c>
      <c r="L205" s="7">
        <v>480</v>
      </c>
      <c r="M205" s="8">
        <f>call_center_data[[#This Row],[avg_ht]]/86400</f>
        <v>5.5555555555555558E-3</v>
      </c>
      <c r="N205" s="5">
        <v>70</v>
      </c>
      <c r="O205" s="5">
        <v>5</v>
      </c>
    </row>
    <row r="206" spans="2:15" x14ac:dyDescent="0.25">
      <c r="B206" s="5">
        <v>1</v>
      </c>
      <c r="C206" s="5" t="str">
        <f>_xlfn.XLOOKUP(call_center_data[[#This Row],[agent_id]],Table1[Agent ID],Table1[Full Name])</f>
        <v>Lisa Diaz</v>
      </c>
      <c r="D206" s="5" t="str">
        <f>_xlfn.XLOOKUP(call_center_data[[#This Row],[agent_id]],Table1[Agent ID],Table1[Supervisor])</f>
        <v>Carol Mario</v>
      </c>
      <c r="E206" s="6">
        <f>_xlfn.XLOOKUP(call_center_data[[#This Row],[agent_id]],Table1[Agent ID],Table1[Hire Date])</f>
        <v>43625</v>
      </c>
      <c r="F206" s="7">
        <f>DATEDIF(call_center_data[[#This Row],[Hire Date]],$Q$6,"M")</f>
        <v>24</v>
      </c>
      <c r="G206" s="6">
        <v>44365</v>
      </c>
      <c r="H206" s="6" t="str">
        <f>TEXT(call_center_data[[#This Row],[date]],"DDD")</f>
        <v>Fri</v>
      </c>
      <c r="I206" s="5">
        <v>3</v>
      </c>
      <c r="J206" s="5" t="str">
        <f>_xlfn.XLOOKUP(call_center_data[[#This Row],[product_id]],Table2[Product_ID],Table2[Product_Name])</f>
        <v>Property Loan</v>
      </c>
      <c r="K206" s="5">
        <v>23</v>
      </c>
      <c r="L206" s="7">
        <v>686</v>
      </c>
      <c r="M206" s="8">
        <f>call_center_data[[#This Row],[avg_ht]]/86400</f>
        <v>7.9398148148148145E-3</v>
      </c>
      <c r="N206" s="5">
        <v>73</v>
      </c>
      <c r="O206" s="5">
        <v>6</v>
      </c>
    </row>
    <row r="207" spans="2:15" x14ac:dyDescent="0.25">
      <c r="B207" s="5">
        <v>7</v>
      </c>
      <c r="C207" s="5" t="str">
        <f>_xlfn.XLOOKUP(call_center_data[[#This Row],[agent_id]],Table1[Agent ID],Table1[Full Name])</f>
        <v>Peter Rivera</v>
      </c>
      <c r="D207" s="5" t="str">
        <f>_xlfn.XLOOKUP(call_center_data[[#This Row],[agent_id]],Table1[Agent ID],Table1[Supervisor])</f>
        <v>Carol Mario</v>
      </c>
      <c r="E207" s="6">
        <f>_xlfn.XLOOKUP(call_center_data[[#This Row],[agent_id]],Table1[Agent ID],Table1[Hire Date])</f>
        <v>44170</v>
      </c>
      <c r="F207" s="7">
        <f>DATEDIF(call_center_data[[#This Row],[Hire Date]],$Q$6,"M")</f>
        <v>6</v>
      </c>
      <c r="G207" s="6">
        <v>44357</v>
      </c>
      <c r="H207" s="6" t="str">
        <f>TEXT(call_center_data[[#This Row],[date]],"DDD")</f>
        <v>Thu</v>
      </c>
      <c r="I207" s="5">
        <v>1</v>
      </c>
      <c r="J207" s="5" t="str">
        <f>_xlfn.XLOOKUP(call_center_data[[#This Row],[product_id]],Table2[Product_ID],Table2[Product_Name])</f>
        <v>Personal Loan</v>
      </c>
      <c r="K207" s="5">
        <v>27</v>
      </c>
      <c r="L207" s="7">
        <v>1698</v>
      </c>
      <c r="M207" s="8">
        <f>call_center_data[[#This Row],[avg_ht]]/86400</f>
        <v>1.9652777777777779E-2</v>
      </c>
      <c r="N207" s="5">
        <v>26</v>
      </c>
      <c r="O207" s="5">
        <v>10</v>
      </c>
    </row>
    <row r="208" spans="2:15" x14ac:dyDescent="0.25">
      <c r="B208" s="5">
        <v>3</v>
      </c>
      <c r="C208" s="5" t="str">
        <f>_xlfn.XLOOKUP(call_center_data[[#This Row],[agent_id]],Table1[Agent ID],Table1[Full Name])</f>
        <v>Cecille Chen</v>
      </c>
      <c r="D208" s="5" t="str">
        <f>_xlfn.XLOOKUP(call_center_data[[#This Row],[agent_id]],Table1[Agent ID],Table1[Supervisor])</f>
        <v>Lester De Mesa</v>
      </c>
      <c r="E208" s="6">
        <f>_xlfn.XLOOKUP(call_center_data[[#This Row],[agent_id]],Table1[Agent ID],Table1[Hire Date])</f>
        <v>43727</v>
      </c>
      <c r="F208" s="7">
        <f>DATEDIF(call_center_data[[#This Row],[Hire Date]],$Q$6,"M")</f>
        <v>21</v>
      </c>
      <c r="G208" s="6">
        <v>44356</v>
      </c>
      <c r="H208" s="6" t="str">
        <f>TEXT(call_center_data[[#This Row],[date]],"DDD")</f>
        <v>Wed</v>
      </c>
      <c r="I208" s="5">
        <v>2</v>
      </c>
      <c r="J208" s="5" t="str">
        <f>_xlfn.XLOOKUP(call_center_data[[#This Row],[product_id]],Table2[Product_ID],Table2[Product_Name])</f>
        <v>Car Loan</v>
      </c>
      <c r="K208" s="5">
        <v>13</v>
      </c>
      <c r="L208" s="7">
        <v>816</v>
      </c>
      <c r="M208" s="8">
        <f>call_center_data[[#This Row],[avg_ht]]/86400</f>
        <v>9.4444444444444445E-3</v>
      </c>
      <c r="N208" s="5">
        <v>63</v>
      </c>
      <c r="O208" s="5">
        <v>7</v>
      </c>
    </row>
    <row r="209" spans="2:15" x14ac:dyDescent="0.25">
      <c r="B209" s="5">
        <v>6</v>
      </c>
      <c r="C209" s="5" t="str">
        <f>_xlfn.XLOOKUP(call_center_data[[#This Row],[agent_id]],Table1[Agent ID],Table1[Full Name])</f>
        <v>Jane Hernandez</v>
      </c>
      <c r="D209" s="5" t="str">
        <f>_xlfn.XLOOKUP(call_center_data[[#This Row],[agent_id]],Table1[Agent ID],Table1[Supervisor])</f>
        <v>Lester De Mesa</v>
      </c>
      <c r="E209" s="6">
        <f>_xlfn.XLOOKUP(call_center_data[[#This Row],[agent_id]],Table1[Agent ID],Table1[Hire Date])</f>
        <v>44116</v>
      </c>
      <c r="F209" s="7">
        <f>DATEDIF(call_center_data[[#This Row],[Hire Date]],$Q$6,"M")</f>
        <v>8</v>
      </c>
      <c r="G209" s="6">
        <v>44365</v>
      </c>
      <c r="H209" s="6" t="str">
        <f>TEXT(call_center_data[[#This Row],[date]],"DDD")</f>
        <v>Fri</v>
      </c>
      <c r="I209" s="5">
        <v>2</v>
      </c>
      <c r="J209" s="5" t="str">
        <f>_xlfn.XLOOKUP(call_center_data[[#This Row],[product_id]],Table2[Product_ID],Table2[Product_Name])</f>
        <v>Car Loan</v>
      </c>
      <c r="K209" s="5">
        <v>23</v>
      </c>
      <c r="L209" s="7">
        <v>119</v>
      </c>
      <c r="M209" s="8">
        <f>call_center_data[[#This Row],[avg_ht]]/86400</f>
        <v>1.3773148148148147E-3</v>
      </c>
      <c r="N209" s="5">
        <v>58</v>
      </c>
      <c r="O209" s="5">
        <v>7</v>
      </c>
    </row>
    <row r="210" spans="2:15" x14ac:dyDescent="0.25">
      <c r="B210" s="5">
        <v>2</v>
      </c>
      <c r="C210" s="5" t="str">
        <f>_xlfn.XLOOKUP(call_center_data[[#This Row],[agent_id]],Table1[Agent ID],Table1[Full Name])</f>
        <v>Josh Vega</v>
      </c>
      <c r="D210" s="5" t="str">
        <f>_xlfn.XLOOKUP(call_center_data[[#This Row],[agent_id]],Table1[Agent ID],Table1[Supervisor])</f>
        <v>Carol Mario</v>
      </c>
      <c r="E210" s="6">
        <f>_xlfn.XLOOKUP(call_center_data[[#This Row],[agent_id]],Table1[Agent ID],Table1[Hire Date])</f>
        <v>43687</v>
      </c>
      <c r="F210" s="7">
        <f>DATEDIF(call_center_data[[#This Row],[Hire Date]],$Q$6,"M")</f>
        <v>22</v>
      </c>
      <c r="G210" s="6">
        <v>44354</v>
      </c>
      <c r="H210" s="6" t="str">
        <f>TEXT(call_center_data[[#This Row],[date]],"DDD")</f>
        <v>Mon</v>
      </c>
      <c r="I210" s="5">
        <v>2</v>
      </c>
      <c r="J210" s="5" t="str">
        <f>_xlfn.XLOOKUP(call_center_data[[#This Row],[product_id]],Table2[Product_ID],Table2[Product_Name])</f>
        <v>Car Loan</v>
      </c>
      <c r="K210" s="5">
        <v>3</v>
      </c>
      <c r="L210" s="7">
        <v>101</v>
      </c>
      <c r="M210" s="8">
        <f>call_center_data[[#This Row],[avg_ht]]/86400</f>
        <v>1.1689814814814816E-3</v>
      </c>
      <c r="N210" s="5">
        <v>78</v>
      </c>
      <c r="O210" s="5">
        <v>6</v>
      </c>
    </row>
    <row r="211" spans="2:15" x14ac:dyDescent="0.25">
      <c r="B211" s="5">
        <v>9</v>
      </c>
      <c r="C211" s="5" t="str">
        <f>_xlfn.XLOOKUP(call_center_data[[#This Row],[agent_id]],Table1[Agent ID],Table1[Full Name])</f>
        <v>Cherry Castillo</v>
      </c>
      <c r="D211" s="5" t="str">
        <f>_xlfn.XLOOKUP(call_center_data[[#This Row],[agent_id]],Table1[Agent ID],Table1[Supervisor])</f>
        <v>Lester De Mesa</v>
      </c>
      <c r="E211" s="6">
        <f>_xlfn.XLOOKUP(call_center_data[[#This Row],[agent_id]],Table1[Agent ID],Table1[Hire Date])</f>
        <v>44226</v>
      </c>
      <c r="F211" s="7">
        <f>DATEDIF(call_center_data[[#This Row],[Hire Date]],$Q$6,"M")</f>
        <v>5</v>
      </c>
      <c r="G211" s="6">
        <v>44363</v>
      </c>
      <c r="H211" s="6" t="str">
        <f>TEXT(call_center_data[[#This Row],[date]],"DDD")</f>
        <v>Wed</v>
      </c>
      <c r="I211" s="5">
        <v>3</v>
      </c>
      <c r="J211" s="5" t="str">
        <f>_xlfn.XLOOKUP(call_center_data[[#This Row],[product_id]],Table2[Product_ID],Table2[Product_Name])</f>
        <v>Property Loan</v>
      </c>
      <c r="K211" s="5">
        <v>39</v>
      </c>
      <c r="L211" s="7">
        <v>279</v>
      </c>
      <c r="M211" s="8">
        <f>call_center_data[[#This Row],[avg_ht]]/86400</f>
        <v>3.2291666666666666E-3</v>
      </c>
      <c r="N211" s="5">
        <v>70</v>
      </c>
      <c r="O211" s="5">
        <v>7</v>
      </c>
    </row>
    <row r="212" spans="2:15" x14ac:dyDescent="0.25">
      <c r="B212" s="5">
        <v>9</v>
      </c>
      <c r="C212" s="5" t="str">
        <f>_xlfn.XLOOKUP(call_center_data[[#This Row],[agent_id]],Table1[Agent ID],Table1[Full Name])</f>
        <v>Cherry Castillo</v>
      </c>
      <c r="D212" s="5" t="str">
        <f>_xlfn.XLOOKUP(call_center_data[[#This Row],[agent_id]],Table1[Agent ID],Table1[Supervisor])</f>
        <v>Lester De Mesa</v>
      </c>
      <c r="E212" s="6">
        <f>_xlfn.XLOOKUP(call_center_data[[#This Row],[agent_id]],Table1[Agent ID],Table1[Hire Date])</f>
        <v>44226</v>
      </c>
      <c r="F212" s="7">
        <f>DATEDIF(call_center_data[[#This Row],[Hire Date]],$Q$6,"M")</f>
        <v>5</v>
      </c>
      <c r="G212" s="6">
        <v>44367</v>
      </c>
      <c r="H212" s="6" t="str">
        <f>TEXT(call_center_data[[#This Row],[date]],"DDD")</f>
        <v>Sun</v>
      </c>
      <c r="I212" s="5">
        <v>1</v>
      </c>
      <c r="J212" s="5" t="str">
        <f>_xlfn.XLOOKUP(call_center_data[[#This Row],[product_id]],Table2[Product_ID],Table2[Product_Name])</f>
        <v>Personal Loan</v>
      </c>
      <c r="K212" s="5">
        <v>33</v>
      </c>
      <c r="L212" s="7">
        <v>1465</v>
      </c>
      <c r="M212" s="8">
        <f>call_center_data[[#This Row],[avg_ht]]/86400</f>
        <v>1.695601851851852E-2</v>
      </c>
      <c r="N212" s="5">
        <v>82</v>
      </c>
      <c r="O212" s="5">
        <v>6</v>
      </c>
    </row>
    <row r="213" spans="2:15" x14ac:dyDescent="0.25">
      <c r="B213" s="5">
        <v>7</v>
      </c>
      <c r="C213" s="5" t="str">
        <f>_xlfn.XLOOKUP(call_center_data[[#This Row],[agent_id]],Table1[Agent ID],Table1[Full Name])</f>
        <v>Peter Rivera</v>
      </c>
      <c r="D213" s="5" t="str">
        <f>_xlfn.XLOOKUP(call_center_data[[#This Row],[agent_id]],Table1[Agent ID],Table1[Supervisor])</f>
        <v>Carol Mario</v>
      </c>
      <c r="E213" s="6">
        <f>_xlfn.XLOOKUP(call_center_data[[#This Row],[agent_id]],Table1[Agent ID],Table1[Hire Date])</f>
        <v>44170</v>
      </c>
      <c r="F213" s="7">
        <f>DATEDIF(call_center_data[[#This Row],[Hire Date]],$Q$6,"M")</f>
        <v>6</v>
      </c>
      <c r="G213" s="6">
        <v>44374</v>
      </c>
      <c r="H213" s="6" t="str">
        <f>TEXT(call_center_data[[#This Row],[date]],"DDD")</f>
        <v>Sun</v>
      </c>
      <c r="I213" s="5">
        <v>3</v>
      </c>
      <c r="J213" s="5" t="str">
        <f>_xlfn.XLOOKUP(call_center_data[[#This Row],[product_id]],Table2[Product_ID],Table2[Product_Name])</f>
        <v>Property Loan</v>
      </c>
      <c r="K213" s="5">
        <v>29</v>
      </c>
      <c r="L213" s="7">
        <v>296</v>
      </c>
      <c r="M213" s="8">
        <f>call_center_data[[#This Row],[avg_ht]]/86400</f>
        <v>3.425925925925926E-3</v>
      </c>
      <c r="N213" s="5">
        <v>11</v>
      </c>
      <c r="O213" s="5">
        <v>10</v>
      </c>
    </row>
    <row r="214" spans="2:15" x14ac:dyDescent="0.25">
      <c r="B214" s="5">
        <v>10</v>
      </c>
      <c r="C214" s="5" t="str">
        <f>_xlfn.XLOOKUP(call_center_data[[#This Row],[agent_id]],Table1[Agent ID],Table1[Full Name])</f>
        <v>Mark Ventura</v>
      </c>
      <c r="D214" s="5" t="str">
        <f>_xlfn.XLOOKUP(call_center_data[[#This Row],[agent_id]],Table1[Agent ID],Table1[Supervisor])</f>
        <v>Lester De Mesa</v>
      </c>
      <c r="E214" s="6">
        <f>_xlfn.XLOOKUP(call_center_data[[#This Row],[agent_id]],Table1[Agent ID],Table1[Hire Date])</f>
        <v>44238</v>
      </c>
      <c r="F214" s="7">
        <f>DATEDIF(call_center_data[[#This Row],[Hire Date]],$Q$6,"M")</f>
        <v>4</v>
      </c>
      <c r="G214" s="6">
        <v>44364</v>
      </c>
      <c r="H214" s="6" t="str">
        <f>TEXT(call_center_data[[#This Row],[date]],"DDD")</f>
        <v>Thu</v>
      </c>
      <c r="I214" s="5">
        <v>2</v>
      </c>
      <c r="J214" s="5" t="str">
        <f>_xlfn.XLOOKUP(call_center_data[[#This Row],[product_id]],Table2[Product_ID],Table2[Product_Name])</f>
        <v>Car Loan</v>
      </c>
      <c r="K214" s="5">
        <v>34</v>
      </c>
      <c r="L214" s="7">
        <v>366</v>
      </c>
      <c r="M214" s="8">
        <f>call_center_data[[#This Row],[avg_ht]]/86400</f>
        <v>4.2361111111111115E-3</v>
      </c>
      <c r="N214" s="5">
        <v>26</v>
      </c>
      <c r="O214" s="5">
        <v>10</v>
      </c>
    </row>
    <row r="215" spans="2:15" x14ac:dyDescent="0.25">
      <c r="B215" s="5">
        <v>4</v>
      </c>
      <c r="C215" s="5" t="str">
        <f>_xlfn.XLOOKUP(call_center_data[[#This Row],[agent_id]],Table1[Agent ID],Table1[Full Name])</f>
        <v>Jay Alvarez</v>
      </c>
      <c r="D215" s="5" t="str">
        <f>_xlfn.XLOOKUP(call_center_data[[#This Row],[agent_id]],Table1[Agent ID],Table1[Supervisor])</f>
        <v>Carol Mario</v>
      </c>
      <c r="E215" s="6">
        <f>_xlfn.XLOOKUP(call_center_data[[#This Row],[agent_id]],Table1[Agent ID],Table1[Hire Date])</f>
        <v>43871</v>
      </c>
      <c r="F215" s="7">
        <f>DATEDIF(call_center_data[[#This Row],[Hire Date]],$Q$6,"M")</f>
        <v>16</v>
      </c>
      <c r="G215" s="6">
        <v>44363</v>
      </c>
      <c r="H215" s="6" t="str">
        <f>TEXT(call_center_data[[#This Row],[date]],"DDD")</f>
        <v>Wed</v>
      </c>
      <c r="I215" s="5">
        <v>1</v>
      </c>
      <c r="J215" s="5" t="str">
        <f>_xlfn.XLOOKUP(call_center_data[[#This Row],[product_id]],Table2[Product_ID],Table2[Product_Name])</f>
        <v>Personal Loan</v>
      </c>
      <c r="K215" s="5">
        <v>8</v>
      </c>
      <c r="L215" s="7">
        <v>761</v>
      </c>
      <c r="M215" s="8">
        <f>call_center_data[[#This Row],[avg_ht]]/86400</f>
        <v>8.8078703703703704E-3</v>
      </c>
      <c r="N215" s="5">
        <v>38</v>
      </c>
      <c r="O215" s="5">
        <v>9</v>
      </c>
    </row>
    <row r="216" spans="2:15" x14ac:dyDescent="0.25">
      <c r="B216" s="5">
        <v>1</v>
      </c>
      <c r="C216" s="5" t="str">
        <f>_xlfn.XLOOKUP(call_center_data[[#This Row],[agent_id]],Table1[Agent ID],Table1[Full Name])</f>
        <v>Lisa Diaz</v>
      </c>
      <c r="D216" s="5" t="str">
        <f>_xlfn.XLOOKUP(call_center_data[[#This Row],[agent_id]],Table1[Agent ID],Table1[Supervisor])</f>
        <v>Carol Mario</v>
      </c>
      <c r="E216" s="6">
        <f>_xlfn.XLOOKUP(call_center_data[[#This Row],[agent_id]],Table1[Agent ID],Table1[Hire Date])</f>
        <v>43625</v>
      </c>
      <c r="F216" s="7">
        <f>DATEDIF(call_center_data[[#This Row],[Hire Date]],$Q$6,"M")</f>
        <v>24</v>
      </c>
      <c r="G216" s="6">
        <v>44369</v>
      </c>
      <c r="H216" s="6" t="str">
        <f>TEXT(call_center_data[[#This Row],[date]],"DDD")</f>
        <v>Tue</v>
      </c>
      <c r="I216" s="5">
        <v>1</v>
      </c>
      <c r="J216" s="5" t="str">
        <f>_xlfn.XLOOKUP(call_center_data[[#This Row],[product_id]],Table2[Product_ID],Table2[Product_Name])</f>
        <v>Personal Loan</v>
      </c>
      <c r="K216" s="5">
        <v>6</v>
      </c>
      <c r="L216" s="7">
        <v>2972</v>
      </c>
      <c r="M216" s="8">
        <f>call_center_data[[#This Row],[avg_ht]]/86400</f>
        <v>3.439814814814815E-2</v>
      </c>
      <c r="N216" s="5">
        <v>33</v>
      </c>
      <c r="O216" s="5">
        <v>9</v>
      </c>
    </row>
    <row r="217" spans="2:15" x14ac:dyDescent="0.25">
      <c r="B217" s="5">
        <v>1</v>
      </c>
      <c r="C217" s="5" t="str">
        <f>_xlfn.XLOOKUP(call_center_data[[#This Row],[agent_id]],Table1[Agent ID],Table1[Full Name])</f>
        <v>Lisa Diaz</v>
      </c>
      <c r="D217" s="5" t="str">
        <f>_xlfn.XLOOKUP(call_center_data[[#This Row],[agent_id]],Table1[Agent ID],Table1[Supervisor])</f>
        <v>Carol Mario</v>
      </c>
      <c r="E217" s="6">
        <f>_xlfn.XLOOKUP(call_center_data[[#This Row],[agent_id]],Table1[Agent ID],Table1[Hire Date])</f>
        <v>43625</v>
      </c>
      <c r="F217" s="7">
        <f>DATEDIF(call_center_data[[#This Row],[Hire Date]],$Q$6,"M")</f>
        <v>24</v>
      </c>
      <c r="G217" s="6">
        <v>44361</v>
      </c>
      <c r="H217" s="6" t="str">
        <f>TEXT(call_center_data[[#This Row],[date]],"DDD")</f>
        <v>Mon</v>
      </c>
      <c r="I217" s="5">
        <v>2</v>
      </c>
      <c r="J217" s="5" t="str">
        <f>_xlfn.XLOOKUP(call_center_data[[#This Row],[product_id]],Table2[Product_ID],Table2[Product_Name])</f>
        <v>Car Loan</v>
      </c>
      <c r="K217" s="5">
        <v>7</v>
      </c>
      <c r="L217" s="7">
        <v>1182</v>
      </c>
      <c r="M217" s="8">
        <f>call_center_data[[#This Row],[avg_ht]]/86400</f>
        <v>1.3680555555555555E-2</v>
      </c>
      <c r="N217" s="5">
        <v>72</v>
      </c>
      <c r="O217" s="5">
        <v>6</v>
      </c>
    </row>
    <row r="218" spans="2:15" x14ac:dyDescent="0.25">
      <c r="B218" s="5">
        <v>5</v>
      </c>
      <c r="C218" s="5" t="str">
        <f>_xlfn.XLOOKUP(call_center_data[[#This Row],[agent_id]],Table1[Agent ID],Table1[Full Name])</f>
        <v>Eric Molina</v>
      </c>
      <c r="D218" s="5" t="str">
        <f>_xlfn.XLOOKUP(call_center_data[[#This Row],[agent_id]],Table1[Agent ID],Table1[Supervisor])</f>
        <v>Lester De Mesa</v>
      </c>
      <c r="E218" s="6">
        <f>_xlfn.XLOOKUP(call_center_data[[#This Row],[agent_id]],Table1[Agent ID],Table1[Hire Date])</f>
        <v>43966</v>
      </c>
      <c r="F218" s="7">
        <f>DATEDIF(call_center_data[[#This Row],[Hire Date]],$Q$6,"M")</f>
        <v>13</v>
      </c>
      <c r="G218" s="6">
        <v>44358</v>
      </c>
      <c r="H218" s="6" t="str">
        <f>TEXT(call_center_data[[#This Row],[date]],"DDD")</f>
        <v>Fri</v>
      </c>
      <c r="I218" s="5">
        <v>3</v>
      </c>
      <c r="J218" s="5" t="str">
        <f>_xlfn.XLOOKUP(call_center_data[[#This Row],[product_id]],Table2[Product_ID],Table2[Product_Name])</f>
        <v>Property Loan</v>
      </c>
      <c r="K218" s="5">
        <v>30</v>
      </c>
      <c r="L218" s="7">
        <v>290</v>
      </c>
      <c r="M218" s="8">
        <f>call_center_data[[#This Row],[avg_ht]]/86400</f>
        <v>3.3564814814814816E-3</v>
      </c>
      <c r="N218" s="5">
        <v>36</v>
      </c>
      <c r="O218" s="5">
        <v>8</v>
      </c>
    </row>
    <row r="219" spans="2:15" x14ac:dyDescent="0.25">
      <c r="B219" s="5">
        <v>10</v>
      </c>
      <c r="C219" s="5" t="str">
        <f>_xlfn.XLOOKUP(call_center_data[[#This Row],[agent_id]],Table1[Agent ID],Table1[Full Name])</f>
        <v>Mark Ventura</v>
      </c>
      <c r="D219" s="5" t="str">
        <f>_xlfn.XLOOKUP(call_center_data[[#This Row],[agent_id]],Table1[Agent ID],Table1[Supervisor])</f>
        <v>Lester De Mesa</v>
      </c>
      <c r="E219" s="6">
        <f>_xlfn.XLOOKUP(call_center_data[[#This Row],[agent_id]],Table1[Agent ID],Table1[Hire Date])</f>
        <v>44238</v>
      </c>
      <c r="F219" s="7">
        <f>DATEDIF(call_center_data[[#This Row],[Hire Date]],$Q$6,"M")</f>
        <v>4</v>
      </c>
      <c r="G219" s="6">
        <v>44371</v>
      </c>
      <c r="H219" s="6" t="str">
        <f>TEXT(call_center_data[[#This Row],[date]],"DDD")</f>
        <v>Thu</v>
      </c>
      <c r="I219" s="5">
        <v>3</v>
      </c>
      <c r="J219" s="5" t="str">
        <f>_xlfn.XLOOKUP(call_center_data[[#This Row],[product_id]],Table2[Product_ID],Table2[Product_Name])</f>
        <v>Property Loan</v>
      </c>
      <c r="K219" s="5">
        <v>34</v>
      </c>
      <c r="L219" s="7">
        <v>238</v>
      </c>
      <c r="M219" s="8">
        <f>call_center_data[[#This Row],[avg_ht]]/86400</f>
        <v>2.7546296296296294E-3</v>
      </c>
      <c r="N219" s="5">
        <v>43</v>
      </c>
      <c r="O219" s="5">
        <v>8</v>
      </c>
    </row>
    <row r="220" spans="2:15" x14ac:dyDescent="0.25">
      <c r="B220" s="5">
        <v>10</v>
      </c>
      <c r="C220" s="5" t="str">
        <f>_xlfn.XLOOKUP(call_center_data[[#This Row],[agent_id]],Table1[Agent ID],Table1[Full Name])</f>
        <v>Mark Ventura</v>
      </c>
      <c r="D220" s="5" t="str">
        <f>_xlfn.XLOOKUP(call_center_data[[#This Row],[agent_id]],Table1[Agent ID],Table1[Supervisor])</f>
        <v>Lester De Mesa</v>
      </c>
      <c r="E220" s="6">
        <f>_xlfn.XLOOKUP(call_center_data[[#This Row],[agent_id]],Table1[Agent ID],Table1[Hire Date])</f>
        <v>44238</v>
      </c>
      <c r="F220" s="7">
        <f>DATEDIF(call_center_data[[#This Row],[Hire Date]],$Q$6,"M")</f>
        <v>4</v>
      </c>
      <c r="G220" s="6">
        <v>44367</v>
      </c>
      <c r="H220" s="6" t="str">
        <f>TEXT(call_center_data[[#This Row],[date]],"DDD")</f>
        <v>Sun</v>
      </c>
      <c r="I220" s="5">
        <v>2</v>
      </c>
      <c r="J220" s="5" t="str">
        <f>_xlfn.XLOOKUP(call_center_data[[#This Row],[product_id]],Table2[Product_ID],Table2[Product_Name])</f>
        <v>Car Loan</v>
      </c>
      <c r="K220" s="5">
        <v>34</v>
      </c>
      <c r="L220" s="7">
        <v>722</v>
      </c>
      <c r="M220" s="8">
        <f>call_center_data[[#This Row],[avg_ht]]/86400</f>
        <v>8.3564814814814821E-3</v>
      </c>
      <c r="N220" s="5">
        <v>80</v>
      </c>
      <c r="O220" s="5">
        <v>6</v>
      </c>
    </row>
    <row r="221" spans="2:15" x14ac:dyDescent="0.25">
      <c r="B221" s="5">
        <v>8</v>
      </c>
      <c r="C221" s="5" t="str">
        <f>_xlfn.XLOOKUP(call_center_data[[#This Row],[agent_id]],Table1[Agent ID],Table1[Full Name])</f>
        <v>Rachel Delos Santos</v>
      </c>
      <c r="D221" s="5" t="str">
        <f>_xlfn.XLOOKUP(call_center_data[[#This Row],[agent_id]],Table1[Agent ID],Table1[Supervisor])</f>
        <v>Carol Mario</v>
      </c>
      <c r="E221" s="6">
        <f>_xlfn.XLOOKUP(call_center_data[[#This Row],[agent_id]],Table1[Agent ID],Table1[Hire Date])</f>
        <v>44212</v>
      </c>
      <c r="F221" s="7">
        <f>DATEDIF(call_center_data[[#This Row],[Hire Date]],$Q$6,"M")</f>
        <v>5</v>
      </c>
      <c r="G221" s="6">
        <v>44354</v>
      </c>
      <c r="H221" s="6" t="str">
        <f>TEXT(call_center_data[[#This Row],[date]],"DDD")</f>
        <v>Mon</v>
      </c>
      <c r="I221" s="5">
        <v>2</v>
      </c>
      <c r="J221" s="5" t="str">
        <f>_xlfn.XLOOKUP(call_center_data[[#This Row],[product_id]],Table2[Product_ID],Table2[Product_Name])</f>
        <v>Car Loan</v>
      </c>
      <c r="K221" s="5">
        <v>27</v>
      </c>
      <c r="L221" s="7">
        <v>268</v>
      </c>
      <c r="M221" s="8">
        <f>call_center_data[[#This Row],[avg_ht]]/86400</f>
        <v>3.1018518518518517E-3</v>
      </c>
      <c r="N221" s="5">
        <v>64</v>
      </c>
      <c r="O221" s="5">
        <v>7</v>
      </c>
    </row>
    <row r="222" spans="2:15" x14ac:dyDescent="0.25">
      <c r="B222" s="5">
        <v>7</v>
      </c>
      <c r="C222" s="5" t="str">
        <f>_xlfn.XLOOKUP(call_center_data[[#This Row],[agent_id]],Table1[Agent ID],Table1[Full Name])</f>
        <v>Peter Rivera</v>
      </c>
      <c r="D222" s="5" t="str">
        <f>_xlfn.XLOOKUP(call_center_data[[#This Row],[agent_id]],Table1[Agent ID],Table1[Supervisor])</f>
        <v>Carol Mario</v>
      </c>
      <c r="E222" s="6">
        <f>_xlfn.XLOOKUP(call_center_data[[#This Row],[agent_id]],Table1[Agent ID],Table1[Hire Date])</f>
        <v>44170</v>
      </c>
      <c r="F222" s="7">
        <f>DATEDIF(call_center_data[[#This Row],[Hire Date]],$Q$6,"M")</f>
        <v>6</v>
      </c>
      <c r="G222" s="6">
        <v>44371</v>
      </c>
      <c r="H222" s="6" t="str">
        <f>TEXT(call_center_data[[#This Row],[date]],"DDD")</f>
        <v>Thu</v>
      </c>
      <c r="I222" s="5">
        <v>3</v>
      </c>
      <c r="J222" s="5" t="str">
        <f>_xlfn.XLOOKUP(call_center_data[[#This Row],[product_id]],Table2[Product_ID],Table2[Product_Name])</f>
        <v>Property Loan</v>
      </c>
      <c r="K222" s="5">
        <v>30</v>
      </c>
      <c r="L222" s="7">
        <v>249</v>
      </c>
      <c r="M222" s="8">
        <f>call_center_data[[#This Row],[avg_ht]]/86400</f>
        <v>2.8819444444444444E-3</v>
      </c>
      <c r="N222" s="5">
        <v>57</v>
      </c>
      <c r="O222" s="5">
        <v>7</v>
      </c>
    </row>
    <row r="223" spans="2:15" x14ac:dyDescent="0.25">
      <c r="B223" s="5">
        <v>8</v>
      </c>
      <c r="C223" s="5" t="str">
        <f>_xlfn.XLOOKUP(call_center_data[[#This Row],[agent_id]],Table1[Agent ID],Table1[Full Name])</f>
        <v>Rachel Delos Santos</v>
      </c>
      <c r="D223" s="5" t="str">
        <f>_xlfn.XLOOKUP(call_center_data[[#This Row],[agent_id]],Table1[Agent ID],Table1[Supervisor])</f>
        <v>Carol Mario</v>
      </c>
      <c r="E223" s="6">
        <f>_xlfn.XLOOKUP(call_center_data[[#This Row],[agent_id]],Table1[Agent ID],Table1[Hire Date])</f>
        <v>44212</v>
      </c>
      <c r="F223" s="7">
        <f>DATEDIF(call_center_data[[#This Row],[Hire Date]],$Q$6,"M")</f>
        <v>5</v>
      </c>
      <c r="G223" s="6">
        <v>44366</v>
      </c>
      <c r="H223" s="6" t="str">
        <f>TEXT(call_center_data[[#This Row],[date]],"DDD")</f>
        <v>Sat</v>
      </c>
      <c r="I223" s="5">
        <v>2</v>
      </c>
      <c r="J223" s="5" t="str">
        <f>_xlfn.XLOOKUP(call_center_data[[#This Row],[product_id]],Table2[Product_ID],Table2[Product_Name])</f>
        <v>Car Loan</v>
      </c>
      <c r="K223" s="5">
        <v>26</v>
      </c>
      <c r="L223" s="7">
        <v>123</v>
      </c>
      <c r="M223" s="8">
        <f>call_center_data[[#This Row],[avg_ht]]/86400</f>
        <v>1.4236111111111112E-3</v>
      </c>
      <c r="N223" s="5">
        <v>59</v>
      </c>
      <c r="O223" s="5">
        <v>7</v>
      </c>
    </row>
    <row r="224" spans="2:15" x14ac:dyDescent="0.25">
      <c r="B224" s="5">
        <v>3</v>
      </c>
      <c r="C224" s="5" t="str">
        <f>_xlfn.XLOOKUP(call_center_data[[#This Row],[agent_id]],Table1[Agent ID],Table1[Full Name])</f>
        <v>Cecille Chen</v>
      </c>
      <c r="D224" s="5" t="str">
        <f>_xlfn.XLOOKUP(call_center_data[[#This Row],[agent_id]],Table1[Agent ID],Table1[Supervisor])</f>
        <v>Lester De Mesa</v>
      </c>
      <c r="E224" s="6">
        <f>_xlfn.XLOOKUP(call_center_data[[#This Row],[agent_id]],Table1[Agent ID],Table1[Hire Date])</f>
        <v>43727</v>
      </c>
      <c r="F224" s="7">
        <f>DATEDIF(call_center_data[[#This Row],[Hire Date]],$Q$6,"M")</f>
        <v>21</v>
      </c>
      <c r="G224" s="6">
        <v>44350</v>
      </c>
      <c r="H224" s="6" t="str">
        <f>TEXT(call_center_data[[#This Row],[date]],"DDD")</f>
        <v>Thu</v>
      </c>
      <c r="I224" s="5">
        <v>2</v>
      </c>
      <c r="J224" s="5" t="str">
        <f>_xlfn.XLOOKUP(call_center_data[[#This Row],[product_id]],Table2[Product_ID],Table2[Product_Name])</f>
        <v>Car Loan</v>
      </c>
      <c r="K224" s="5">
        <v>15</v>
      </c>
      <c r="L224" s="7">
        <v>960</v>
      </c>
      <c r="M224" s="8">
        <f>call_center_data[[#This Row],[avg_ht]]/86400</f>
        <v>1.1111111111111112E-2</v>
      </c>
      <c r="N224" s="5">
        <v>64</v>
      </c>
      <c r="O224" s="5">
        <v>7</v>
      </c>
    </row>
    <row r="225" spans="2:15" x14ac:dyDescent="0.25">
      <c r="B225" s="5">
        <v>10</v>
      </c>
      <c r="C225" s="5" t="str">
        <f>_xlfn.XLOOKUP(call_center_data[[#This Row],[agent_id]],Table1[Agent ID],Table1[Full Name])</f>
        <v>Mark Ventura</v>
      </c>
      <c r="D225" s="5" t="str">
        <f>_xlfn.XLOOKUP(call_center_data[[#This Row],[agent_id]],Table1[Agent ID],Table1[Supervisor])</f>
        <v>Lester De Mesa</v>
      </c>
      <c r="E225" s="6">
        <f>_xlfn.XLOOKUP(call_center_data[[#This Row],[agent_id]],Table1[Agent ID],Table1[Hire Date])</f>
        <v>44238</v>
      </c>
      <c r="F225" s="7">
        <f>DATEDIF(call_center_data[[#This Row],[Hire Date]],$Q$6,"M")</f>
        <v>4</v>
      </c>
      <c r="G225" s="6">
        <v>44350</v>
      </c>
      <c r="H225" s="6" t="str">
        <f>TEXT(call_center_data[[#This Row],[date]],"DDD")</f>
        <v>Thu</v>
      </c>
      <c r="I225" s="5">
        <v>3</v>
      </c>
      <c r="J225" s="5" t="str">
        <f>_xlfn.XLOOKUP(call_center_data[[#This Row],[product_id]],Table2[Product_ID],Table2[Product_Name])</f>
        <v>Property Loan</v>
      </c>
      <c r="K225" s="5">
        <v>33</v>
      </c>
      <c r="L225" s="7">
        <v>157</v>
      </c>
      <c r="M225" s="8">
        <f>call_center_data[[#This Row],[avg_ht]]/86400</f>
        <v>1.8171296296296297E-3</v>
      </c>
      <c r="N225" s="5">
        <v>39</v>
      </c>
      <c r="O225" s="5">
        <v>9</v>
      </c>
    </row>
    <row r="226" spans="2:15" x14ac:dyDescent="0.25">
      <c r="B226" s="5">
        <v>8</v>
      </c>
      <c r="C226" s="5" t="str">
        <f>_xlfn.XLOOKUP(call_center_data[[#This Row],[agent_id]],Table1[Agent ID],Table1[Full Name])</f>
        <v>Rachel Delos Santos</v>
      </c>
      <c r="D226" s="5" t="str">
        <f>_xlfn.XLOOKUP(call_center_data[[#This Row],[agent_id]],Table1[Agent ID],Table1[Supervisor])</f>
        <v>Carol Mario</v>
      </c>
      <c r="E226" s="6">
        <f>_xlfn.XLOOKUP(call_center_data[[#This Row],[agent_id]],Table1[Agent ID],Table1[Hire Date])</f>
        <v>44212</v>
      </c>
      <c r="F226" s="7">
        <f>DATEDIF(call_center_data[[#This Row],[Hire Date]],$Q$6,"M")</f>
        <v>5</v>
      </c>
      <c r="G226" s="6">
        <v>44355</v>
      </c>
      <c r="H226" s="6" t="str">
        <f>TEXT(call_center_data[[#This Row],[date]],"DDD")</f>
        <v>Tue</v>
      </c>
      <c r="I226" s="5">
        <v>3</v>
      </c>
      <c r="J226" s="5" t="str">
        <f>_xlfn.XLOOKUP(call_center_data[[#This Row],[product_id]],Table2[Product_ID],Table2[Product_Name])</f>
        <v>Property Loan</v>
      </c>
      <c r="K226" s="5">
        <v>28</v>
      </c>
      <c r="L226" s="7">
        <v>80</v>
      </c>
      <c r="M226" s="8">
        <f>call_center_data[[#This Row],[avg_ht]]/86400</f>
        <v>9.2592592592592596E-4</v>
      </c>
      <c r="N226" s="5">
        <v>16</v>
      </c>
      <c r="O226" s="5">
        <v>9</v>
      </c>
    </row>
    <row r="227" spans="2:15" x14ac:dyDescent="0.25">
      <c r="B227" s="5">
        <v>8</v>
      </c>
      <c r="C227" s="5" t="str">
        <f>_xlfn.XLOOKUP(call_center_data[[#This Row],[agent_id]],Table1[Agent ID],Table1[Full Name])</f>
        <v>Rachel Delos Santos</v>
      </c>
      <c r="D227" s="5" t="str">
        <f>_xlfn.XLOOKUP(call_center_data[[#This Row],[agent_id]],Table1[Agent ID],Table1[Supervisor])</f>
        <v>Carol Mario</v>
      </c>
      <c r="E227" s="6">
        <f>_xlfn.XLOOKUP(call_center_data[[#This Row],[agent_id]],Table1[Agent ID],Table1[Hire Date])</f>
        <v>44212</v>
      </c>
      <c r="F227" s="7">
        <f>DATEDIF(call_center_data[[#This Row],[Hire Date]],$Q$6,"M")</f>
        <v>5</v>
      </c>
      <c r="G227" s="6">
        <v>44365</v>
      </c>
      <c r="H227" s="6" t="str">
        <f>TEXT(call_center_data[[#This Row],[date]],"DDD")</f>
        <v>Fri</v>
      </c>
      <c r="I227" s="5">
        <v>1</v>
      </c>
      <c r="J227" s="5" t="str">
        <f>_xlfn.XLOOKUP(call_center_data[[#This Row],[product_id]],Table2[Product_ID],Table2[Product_Name])</f>
        <v>Personal Loan</v>
      </c>
      <c r="K227" s="5">
        <v>21</v>
      </c>
      <c r="L227" s="7">
        <v>903</v>
      </c>
      <c r="M227" s="8">
        <f>call_center_data[[#This Row],[avg_ht]]/86400</f>
        <v>1.0451388888888889E-2</v>
      </c>
      <c r="N227" s="5">
        <v>70</v>
      </c>
      <c r="O227" s="5">
        <v>6</v>
      </c>
    </row>
    <row r="228" spans="2:15" x14ac:dyDescent="0.25">
      <c r="B228" s="5">
        <v>4</v>
      </c>
      <c r="C228" s="5" t="str">
        <f>_xlfn.XLOOKUP(call_center_data[[#This Row],[agent_id]],Table1[Agent ID],Table1[Full Name])</f>
        <v>Jay Alvarez</v>
      </c>
      <c r="D228" s="5" t="str">
        <f>_xlfn.XLOOKUP(call_center_data[[#This Row],[agent_id]],Table1[Agent ID],Table1[Supervisor])</f>
        <v>Carol Mario</v>
      </c>
      <c r="E228" s="6">
        <f>_xlfn.XLOOKUP(call_center_data[[#This Row],[agent_id]],Table1[Agent ID],Table1[Hire Date])</f>
        <v>43871</v>
      </c>
      <c r="F228" s="7">
        <f>DATEDIF(call_center_data[[#This Row],[Hire Date]],$Q$6,"M")</f>
        <v>16</v>
      </c>
      <c r="G228" s="6">
        <v>44368</v>
      </c>
      <c r="H228" s="6" t="str">
        <f>TEXT(call_center_data[[#This Row],[date]],"DDD")</f>
        <v>Mon</v>
      </c>
      <c r="I228" s="5">
        <v>3</v>
      </c>
      <c r="J228" s="5" t="str">
        <f>_xlfn.XLOOKUP(call_center_data[[#This Row],[product_id]],Table2[Product_ID],Table2[Product_Name])</f>
        <v>Property Loan</v>
      </c>
      <c r="K228" s="5">
        <v>12</v>
      </c>
      <c r="L228" s="7">
        <v>73</v>
      </c>
      <c r="M228" s="8">
        <f>call_center_data[[#This Row],[avg_ht]]/86400</f>
        <v>8.4490740740740739E-4</v>
      </c>
      <c r="N228" s="5">
        <v>19</v>
      </c>
      <c r="O228" s="5">
        <v>10</v>
      </c>
    </row>
    <row r="229" spans="2:15" x14ac:dyDescent="0.25">
      <c r="B229" s="5">
        <v>7</v>
      </c>
      <c r="C229" s="5" t="str">
        <f>_xlfn.XLOOKUP(call_center_data[[#This Row],[agent_id]],Table1[Agent ID],Table1[Full Name])</f>
        <v>Peter Rivera</v>
      </c>
      <c r="D229" s="5" t="str">
        <f>_xlfn.XLOOKUP(call_center_data[[#This Row],[agent_id]],Table1[Agent ID],Table1[Supervisor])</f>
        <v>Carol Mario</v>
      </c>
      <c r="E229" s="6">
        <f>_xlfn.XLOOKUP(call_center_data[[#This Row],[agent_id]],Table1[Agent ID],Table1[Hire Date])</f>
        <v>44170</v>
      </c>
      <c r="F229" s="7">
        <f>DATEDIF(call_center_data[[#This Row],[Hire Date]],$Q$6,"M")</f>
        <v>6</v>
      </c>
      <c r="G229" s="6">
        <v>44355</v>
      </c>
      <c r="H229" s="6" t="str">
        <f>TEXT(call_center_data[[#This Row],[date]],"DDD")</f>
        <v>Tue</v>
      </c>
      <c r="I229" s="5">
        <v>2</v>
      </c>
      <c r="J229" s="5" t="str">
        <f>_xlfn.XLOOKUP(call_center_data[[#This Row],[product_id]],Table2[Product_ID],Table2[Product_Name])</f>
        <v>Car Loan</v>
      </c>
      <c r="K229" s="5">
        <v>30</v>
      </c>
      <c r="L229" s="7">
        <v>900</v>
      </c>
      <c r="M229" s="8">
        <f>call_center_data[[#This Row],[avg_ht]]/86400</f>
        <v>1.0416666666666666E-2</v>
      </c>
      <c r="N229" s="5">
        <v>28</v>
      </c>
      <c r="O229" s="5">
        <v>8</v>
      </c>
    </row>
    <row r="230" spans="2:15" x14ac:dyDescent="0.25">
      <c r="B230" s="5">
        <v>9</v>
      </c>
      <c r="C230" s="5" t="str">
        <f>_xlfn.XLOOKUP(call_center_data[[#This Row],[agent_id]],Table1[Agent ID],Table1[Full Name])</f>
        <v>Cherry Castillo</v>
      </c>
      <c r="D230" s="5" t="str">
        <f>_xlfn.XLOOKUP(call_center_data[[#This Row],[agent_id]],Table1[Agent ID],Table1[Supervisor])</f>
        <v>Lester De Mesa</v>
      </c>
      <c r="E230" s="6">
        <f>_xlfn.XLOOKUP(call_center_data[[#This Row],[agent_id]],Table1[Agent ID],Table1[Hire Date])</f>
        <v>44226</v>
      </c>
      <c r="F230" s="7">
        <f>DATEDIF(call_center_data[[#This Row],[Hire Date]],$Q$6,"M")</f>
        <v>5</v>
      </c>
      <c r="G230" s="6">
        <v>44351</v>
      </c>
      <c r="H230" s="6" t="str">
        <f>TEXT(call_center_data[[#This Row],[date]],"DDD")</f>
        <v>Fri</v>
      </c>
      <c r="I230" s="5">
        <v>3</v>
      </c>
      <c r="J230" s="5" t="str">
        <f>_xlfn.XLOOKUP(call_center_data[[#This Row],[product_id]],Table2[Product_ID],Table2[Product_Name])</f>
        <v>Property Loan</v>
      </c>
      <c r="K230" s="5">
        <v>38</v>
      </c>
      <c r="L230" s="7">
        <v>585</v>
      </c>
      <c r="M230" s="8">
        <f>call_center_data[[#This Row],[avg_ht]]/86400</f>
        <v>6.7708333333333336E-3</v>
      </c>
      <c r="N230" s="5">
        <v>42</v>
      </c>
      <c r="O230" s="5">
        <v>8</v>
      </c>
    </row>
    <row r="231" spans="2:15" x14ac:dyDescent="0.25">
      <c r="B231" s="5">
        <v>10</v>
      </c>
      <c r="C231" s="5" t="str">
        <f>_xlfn.XLOOKUP(call_center_data[[#This Row],[agent_id]],Table1[Agent ID],Table1[Full Name])</f>
        <v>Mark Ventura</v>
      </c>
      <c r="D231" s="5" t="str">
        <f>_xlfn.XLOOKUP(call_center_data[[#This Row],[agent_id]],Table1[Agent ID],Table1[Supervisor])</f>
        <v>Lester De Mesa</v>
      </c>
      <c r="E231" s="6">
        <f>_xlfn.XLOOKUP(call_center_data[[#This Row],[agent_id]],Table1[Agent ID],Table1[Hire Date])</f>
        <v>44238</v>
      </c>
      <c r="F231" s="7">
        <f>DATEDIF(call_center_data[[#This Row],[Hire Date]],$Q$6,"M")</f>
        <v>4</v>
      </c>
      <c r="G231" s="6">
        <v>44366</v>
      </c>
      <c r="H231" s="6" t="str">
        <f>TEXT(call_center_data[[#This Row],[date]],"DDD")</f>
        <v>Sat</v>
      </c>
      <c r="I231" s="5">
        <v>1</v>
      </c>
      <c r="J231" s="5" t="str">
        <f>_xlfn.XLOOKUP(call_center_data[[#This Row],[product_id]],Table2[Product_ID],Table2[Product_Name])</f>
        <v>Personal Loan</v>
      </c>
      <c r="K231" s="5">
        <v>31</v>
      </c>
      <c r="L231" s="7">
        <v>139</v>
      </c>
      <c r="M231" s="8">
        <f>call_center_data[[#This Row],[avg_ht]]/86400</f>
        <v>1.6087962962962963E-3</v>
      </c>
      <c r="N231" s="5">
        <v>69</v>
      </c>
      <c r="O231" s="5">
        <v>7</v>
      </c>
    </row>
    <row r="232" spans="2:15" x14ac:dyDescent="0.25">
      <c r="B232" s="5">
        <v>5</v>
      </c>
      <c r="C232" s="5" t="str">
        <f>_xlfn.XLOOKUP(call_center_data[[#This Row],[agent_id]],Table1[Agent ID],Table1[Full Name])</f>
        <v>Eric Molina</v>
      </c>
      <c r="D232" s="5" t="str">
        <f>_xlfn.XLOOKUP(call_center_data[[#This Row],[agent_id]],Table1[Agent ID],Table1[Supervisor])</f>
        <v>Lester De Mesa</v>
      </c>
      <c r="E232" s="6">
        <f>_xlfn.XLOOKUP(call_center_data[[#This Row],[agent_id]],Table1[Agent ID],Table1[Hire Date])</f>
        <v>43966</v>
      </c>
      <c r="F232" s="7">
        <f>DATEDIF(call_center_data[[#This Row],[Hire Date]],$Q$6,"M")</f>
        <v>13</v>
      </c>
      <c r="G232" s="6">
        <v>44374</v>
      </c>
      <c r="H232" s="6" t="str">
        <f>TEXT(call_center_data[[#This Row],[date]],"DDD")</f>
        <v>Sun</v>
      </c>
      <c r="I232" s="5">
        <v>1</v>
      </c>
      <c r="J232" s="5" t="str">
        <f>_xlfn.XLOOKUP(call_center_data[[#This Row],[product_id]],Table2[Product_ID],Table2[Product_Name])</f>
        <v>Personal Loan</v>
      </c>
      <c r="K232" s="5">
        <v>18</v>
      </c>
      <c r="L232" s="7">
        <v>1422</v>
      </c>
      <c r="M232" s="8">
        <f>call_center_data[[#This Row],[avg_ht]]/86400</f>
        <v>1.6458333333333332E-2</v>
      </c>
      <c r="N232" s="5">
        <v>27</v>
      </c>
      <c r="O232" s="5">
        <v>8</v>
      </c>
    </row>
    <row r="233" spans="2:15" x14ac:dyDescent="0.25">
      <c r="B233" s="5">
        <v>5</v>
      </c>
      <c r="C233" s="5" t="str">
        <f>_xlfn.XLOOKUP(call_center_data[[#This Row],[agent_id]],Table1[Agent ID],Table1[Full Name])</f>
        <v>Eric Molina</v>
      </c>
      <c r="D233" s="5" t="str">
        <f>_xlfn.XLOOKUP(call_center_data[[#This Row],[agent_id]],Table1[Agent ID],Table1[Supervisor])</f>
        <v>Lester De Mesa</v>
      </c>
      <c r="E233" s="6">
        <f>_xlfn.XLOOKUP(call_center_data[[#This Row],[agent_id]],Table1[Agent ID],Table1[Hire Date])</f>
        <v>43966</v>
      </c>
      <c r="F233" s="7">
        <f>DATEDIF(call_center_data[[#This Row],[Hire Date]],$Q$6,"M")</f>
        <v>13</v>
      </c>
      <c r="G233" s="6">
        <v>44364</v>
      </c>
      <c r="H233" s="6" t="str">
        <f>TEXT(call_center_data[[#This Row],[date]],"DDD")</f>
        <v>Thu</v>
      </c>
      <c r="I233" s="5">
        <v>3</v>
      </c>
      <c r="J233" s="5" t="str">
        <f>_xlfn.XLOOKUP(call_center_data[[#This Row],[product_id]],Table2[Product_ID],Table2[Product_Name])</f>
        <v>Property Loan</v>
      </c>
      <c r="K233" s="5">
        <v>24</v>
      </c>
      <c r="L233" s="7">
        <v>464</v>
      </c>
      <c r="M233" s="8">
        <f>call_center_data[[#This Row],[avg_ht]]/86400</f>
        <v>5.37037037037037E-3</v>
      </c>
      <c r="N233" s="5">
        <v>78</v>
      </c>
      <c r="O233" s="5">
        <v>6</v>
      </c>
    </row>
    <row r="234" spans="2:15" x14ac:dyDescent="0.25">
      <c r="B234" s="5">
        <v>4</v>
      </c>
      <c r="C234" s="5" t="str">
        <f>_xlfn.XLOOKUP(call_center_data[[#This Row],[agent_id]],Table1[Agent ID],Table1[Full Name])</f>
        <v>Jay Alvarez</v>
      </c>
      <c r="D234" s="5" t="str">
        <f>_xlfn.XLOOKUP(call_center_data[[#This Row],[agent_id]],Table1[Agent ID],Table1[Supervisor])</f>
        <v>Carol Mario</v>
      </c>
      <c r="E234" s="6">
        <f>_xlfn.XLOOKUP(call_center_data[[#This Row],[agent_id]],Table1[Agent ID],Table1[Hire Date])</f>
        <v>43871</v>
      </c>
      <c r="F234" s="7">
        <f>DATEDIF(call_center_data[[#This Row],[Hire Date]],$Q$6,"M")</f>
        <v>16</v>
      </c>
      <c r="G234" s="6">
        <v>44352</v>
      </c>
      <c r="H234" s="6" t="str">
        <f>TEXT(call_center_data[[#This Row],[date]],"DDD")</f>
        <v>Sat</v>
      </c>
      <c r="I234" s="5">
        <v>2</v>
      </c>
      <c r="J234" s="5" t="str">
        <f>_xlfn.XLOOKUP(call_center_data[[#This Row],[product_id]],Table2[Product_ID],Table2[Product_Name])</f>
        <v>Car Loan</v>
      </c>
      <c r="K234" s="5">
        <v>21</v>
      </c>
      <c r="L234" s="7">
        <v>138</v>
      </c>
      <c r="M234" s="8">
        <f>call_center_data[[#This Row],[avg_ht]]/86400</f>
        <v>1.5972222222222223E-3</v>
      </c>
      <c r="N234" s="5">
        <v>62</v>
      </c>
      <c r="O234" s="5">
        <v>7</v>
      </c>
    </row>
    <row r="235" spans="2:15" x14ac:dyDescent="0.25">
      <c r="B235" s="5">
        <v>2</v>
      </c>
      <c r="C235" s="5" t="str">
        <f>_xlfn.XLOOKUP(call_center_data[[#This Row],[agent_id]],Table1[Agent ID],Table1[Full Name])</f>
        <v>Josh Vega</v>
      </c>
      <c r="D235" s="5" t="str">
        <f>_xlfn.XLOOKUP(call_center_data[[#This Row],[agent_id]],Table1[Agent ID],Table1[Supervisor])</f>
        <v>Carol Mario</v>
      </c>
      <c r="E235" s="6">
        <f>_xlfn.XLOOKUP(call_center_data[[#This Row],[agent_id]],Table1[Agent ID],Table1[Hire Date])</f>
        <v>43687</v>
      </c>
      <c r="F235" s="7">
        <f>DATEDIF(call_center_data[[#This Row],[Hire Date]],$Q$6,"M")</f>
        <v>22</v>
      </c>
      <c r="G235" s="6">
        <v>44360</v>
      </c>
      <c r="H235" s="6" t="str">
        <f>TEXT(call_center_data[[#This Row],[date]],"DDD")</f>
        <v>Sun</v>
      </c>
      <c r="I235" s="5">
        <v>2</v>
      </c>
      <c r="J235" s="5" t="str">
        <f>_xlfn.XLOOKUP(call_center_data[[#This Row],[product_id]],Table2[Product_ID],Table2[Product_Name])</f>
        <v>Car Loan</v>
      </c>
      <c r="K235" s="5">
        <v>5</v>
      </c>
      <c r="L235" s="7">
        <v>131</v>
      </c>
      <c r="M235" s="8">
        <f>call_center_data[[#This Row],[avg_ht]]/86400</f>
        <v>1.5162037037037036E-3</v>
      </c>
      <c r="N235" s="5">
        <v>22</v>
      </c>
      <c r="O235" s="5">
        <v>9</v>
      </c>
    </row>
    <row r="236" spans="2:15" x14ac:dyDescent="0.25">
      <c r="B236" s="5">
        <v>6</v>
      </c>
      <c r="C236" s="5" t="str">
        <f>_xlfn.XLOOKUP(call_center_data[[#This Row],[agent_id]],Table1[Agent ID],Table1[Full Name])</f>
        <v>Jane Hernandez</v>
      </c>
      <c r="D236" s="5" t="str">
        <f>_xlfn.XLOOKUP(call_center_data[[#This Row],[agent_id]],Table1[Agent ID],Table1[Supervisor])</f>
        <v>Lester De Mesa</v>
      </c>
      <c r="E236" s="6">
        <f>_xlfn.XLOOKUP(call_center_data[[#This Row],[agent_id]],Table1[Agent ID],Table1[Hire Date])</f>
        <v>44116</v>
      </c>
      <c r="F236" s="7">
        <f>DATEDIF(call_center_data[[#This Row],[Hire Date]],$Q$6,"M")</f>
        <v>8</v>
      </c>
      <c r="G236" s="6">
        <v>44374</v>
      </c>
      <c r="H236" s="6" t="str">
        <f>TEXT(call_center_data[[#This Row],[date]],"DDD")</f>
        <v>Sun</v>
      </c>
      <c r="I236" s="5">
        <v>2</v>
      </c>
      <c r="J236" s="5" t="str">
        <f>_xlfn.XLOOKUP(call_center_data[[#This Row],[product_id]],Table2[Product_ID],Table2[Product_Name])</f>
        <v>Car Loan</v>
      </c>
      <c r="K236" s="5">
        <v>19</v>
      </c>
      <c r="L236" s="7">
        <v>445</v>
      </c>
      <c r="M236" s="8">
        <f>call_center_data[[#This Row],[avg_ht]]/86400</f>
        <v>5.1504629629629626E-3</v>
      </c>
      <c r="N236" s="5">
        <v>27</v>
      </c>
      <c r="O236" s="5">
        <v>9</v>
      </c>
    </row>
    <row r="237" spans="2:15" x14ac:dyDescent="0.25">
      <c r="B237" s="5">
        <v>1</v>
      </c>
      <c r="C237" s="5" t="str">
        <f>_xlfn.XLOOKUP(call_center_data[[#This Row],[agent_id]],Table1[Agent ID],Table1[Full Name])</f>
        <v>Lisa Diaz</v>
      </c>
      <c r="D237" s="5" t="str">
        <f>_xlfn.XLOOKUP(call_center_data[[#This Row],[agent_id]],Table1[Agent ID],Table1[Supervisor])</f>
        <v>Carol Mario</v>
      </c>
      <c r="E237" s="6">
        <f>_xlfn.XLOOKUP(call_center_data[[#This Row],[agent_id]],Table1[Agent ID],Table1[Hire Date])</f>
        <v>43625</v>
      </c>
      <c r="F237" s="7">
        <f>DATEDIF(call_center_data[[#This Row],[Hire Date]],$Q$6,"M")</f>
        <v>24</v>
      </c>
      <c r="G237" s="6">
        <v>44350</v>
      </c>
      <c r="H237" s="6" t="str">
        <f>TEXT(call_center_data[[#This Row],[date]],"DDD")</f>
        <v>Thu</v>
      </c>
      <c r="I237" s="5">
        <v>3</v>
      </c>
      <c r="J237" s="5" t="str">
        <f>_xlfn.XLOOKUP(call_center_data[[#This Row],[product_id]],Table2[Product_ID],Table2[Product_Name])</f>
        <v>Property Loan</v>
      </c>
      <c r="K237" s="5">
        <v>8</v>
      </c>
      <c r="L237" s="7">
        <v>494</v>
      </c>
      <c r="M237" s="8">
        <f>call_center_data[[#This Row],[avg_ht]]/86400</f>
        <v>5.7175925925925927E-3</v>
      </c>
      <c r="N237" s="5">
        <v>63</v>
      </c>
      <c r="O237" s="5">
        <v>7</v>
      </c>
    </row>
    <row r="238" spans="2:15" x14ac:dyDescent="0.25">
      <c r="B238" s="5">
        <v>5</v>
      </c>
      <c r="C238" s="5" t="str">
        <f>_xlfn.XLOOKUP(call_center_data[[#This Row],[agent_id]],Table1[Agent ID],Table1[Full Name])</f>
        <v>Eric Molina</v>
      </c>
      <c r="D238" s="5" t="str">
        <f>_xlfn.XLOOKUP(call_center_data[[#This Row],[agent_id]],Table1[Agent ID],Table1[Supervisor])</f>
        <v>Lester De Mesa</v>
      </c>
      <c r="E238" s="6">
        <f>_xlfn.XLOOKUP(call_center_data[[#This Row],[agent_id]],Table1[Agent ID],Table1[Hire Date])</f>
        <v>43966</v>
      </c>
      <c r="F238" s="7">
        <f>DATEDIF(call_center_data[[#This Row],[Hire Date]],$Q$6,"M")</f>
        <v>13</v>
      </c>
      <c r="G238" s="6">
        <v>44370</v>
      </c>
      <c r="H238" s="6" t="str">
        <f>TEXT(call_center_data[[#This Row],[date]],"DDD")</f>
        <v>Wed</v>
      </c>
      <c r="I238" s="5">
        <v>3</v>
      </c>
      <c r="J238" s="5" t="str">
        <f>_xlfn.XLOOKUP(call_center_data[[#This Row],[product_id]],Table2[Product_ID],Table2[Product_Name])</f>
        <v>Property Loan</v>
      </c>
      <c r="K238" s="5">
        <v>24</v>
      </c>
      <c r="L238" s="7">
        <v>504</v>
      </c>
      <c r="M238" s="8">
        <f>call_center_data[[#This Row],[avg_ht]]/86400</f>
        <v>5.8333333333333336E-3</v>
      </c>
      <c r="N238" s="5">
        <v>32</v>
      </c>
      <c r="O238" s="5">
        <v>9</v>
      </c>
    </row>
    <row r="239" spans="2:15" x14ac:dyDescent="0.25">
      <c r="B239" s="5">
        <v>9</v>
      </c>
      <c r="C239" s="5" t="str">
        <f>_xlfn.XLOOKUP(call_center_data[[#This Row],[agent_id]],Table1[Agent ID],Table1[Full Name])</f>
        <v>Cherry Castillo</v>
      </c>
      <c r="D239" s="5" t="str">
        <f>_xlfn.XLOOKUP(call_center_data[[#This Row],[agent_id]],Table1[Agent ID],Table1[Supervisor])</f>
        <v>Lester De Mesa</v>
      </c>
      <c r="E239" s="6">
        <f>_xlfn.XLOOKUP(call_center_data[[#This Row],[agent_id]],Table1[Agent ID],Table1[Hire Date])</f>
        <v>44226</v>
      </c>
      <c r="F239" s="7">
        <f>DATEDIF(call_center_data[[#This Row],[Hire Date]],$Q$6,"M")</f>
        <v>5</v>
      </c>
      <c r="G239" s="6">
        <v>44374</v>
      </c>
      <c r="H239" s="6" t="str">
        <f>TEXT(call_center_data[[#This Row],[date]],"DDD")</f>
        <v>Sun</v>
      </c>
      <c r="I239" s="5">
        <v>2</v>
      </c>
      <c r="J239" s="5" t="str">
        <f>_xlfn.XLOOKUP(call_center_data[[#This Row],[product_id]],Table2[Product_ID],Table2[Product_Name])</f>
        <v>Car Loan</v>
      </c>
      <c r="K239" s="5">
        <v>34</v>
      </c>
      <c r="L239" s="7">
        <v>427</v>
      </c>
      <c r="M239" s="8">
        <f>call_center_data[[#This Row],[avg_ht]]/86400</f>
        <v>4.9421296296296297E-3</v>
      </c>
      <c r="N239" s="5">
        <v>16</v>
      </c>
      <c r="O239" s="5">
        <v>10</v>
      </c>
    </row>
    <row r="240" spans="2:15" x14ac:dyDescent="0.25">
      <c r="B240" s="5">
        <v>10</v>
      </c>
      <c r="C240" s="5" t="str">
        <f>_xlfn.XLOOKUP(call_center_data[[#This Row],[agent_id]],Table1[Agent ID],Table1[Full Name])</f>
        <v>Mark Ventura</v>
      </c>
      <c r="D240" s="5" t="str">
        <f>_xlfn.XLOOKUP(call_center_data[[#This Row],[agent_id]],Table1[Agent ID],Table1[Supervisor])</f>
        <v>Lester De Mesa</v>
      </c>
      <c r="E240" s="6">
        <f>_xlfn.XLOOKUP(call_center_data[[#This Row],[agent_id]],Table1[Agent ID],Table1[Hire Date])</f>
        <v>44238</v>
      </c>
      <c r="F240" s="7">
        <f>DATEDIF(call_center_data[[#This Row],[Hire Date]],$Q$6,"M")</f>
        <v>4</v>
      </c>
      <c r="G240" s="6">
        <v>44356</v>
      </c>
      <c r="H240" s="6" t="str">
        <f>TEXT(call_center_data[[#This Row],[date]],"DDD")</f>
        <v>Wed</v>
      </c>
      <c r="I240" s="5">
        <v>3</v>
      </c>
      <c r="J240" s="5" t="str">
        <f>_xlfn.XLOOKUP(call_center_data[[#This Row],[product_id]],Table2[Product_ID],Table2[Product_Name])</f>
        <v>Property Loan</v>
      </c>
      <c r="K240" s="5">
        <v>34</v>
      </c>
      <c r="L240" s="7">
        <v>207</v>
      </c>
      <c r="M240" s="8">
        <f>call_center_data[[#This Row],[avg_ht]]/86400</f>
        <v>2.3958333333333331E-3</v>
      </c>
      <c r="N240" s="5">
        <v>56</v>
      </c>
      <c r="O240" s="5">
        <v>7</v>
      </c>
    </row>
    <row r="241" spans="2:15" x14ac:dyDescent="0.25">
      <c r="B241" s="5">
        <v>1</v>
      </c>
      <c r="C241" s="5" t="str">
        <f>_xlfn.XLOOKUP(call_center_data[[#This Row],[agent_id]],Table1[Agent ID],Table1[Full Name])</f>
        <v>Lisa Diaz</v>
      </c>
      <c r="D241" s="5" t="str">
        <f>_xlfn.XLOOKUP(call_center_data[[#This Row],[agent_id]],Table1[Agent ID],Table1[Supervisor])</f>
        <v>Carol Mario</v>
      </c>
      <c r="E241" s="6">
        <f>_xlfn.XLOOKUP(call_center_data[[#This Row],[agent_id]],Table1[Agent ID],Table1[Hire Date])</f>
        <v>43625</v>
      </c>
      <c r="F241" s="7">
        <f>DATEDIF(call_center_data[[#This Row],[Hire Date]],$Q$6,"M")</f>
        <v>24</v>
      </c>
      <c r="G241" s="6">
        <v>44366</v>
      </c>
      <c r="H241" s="6" t="str">
        <f>TEXT(call_center_data[[#This Row],[date]],"DDD")</f>
        <v>Sat</v>
      </c>
      <c r="I241" s="5">
        <v>1</v>
      </c>
      <c r="J241" s="5" t="str">
        <f>_xlfn.XLOOKUP(call_center_data[[#This Row],[product_id]],Table2[Product_ID],Table2[Product_Name])</f>
        <v>Personal Loan</v>
      </c>
      <c r="K241" s="5">
        <v>21</v>
      </c>
      <c r="L241" s="7">
        <v>1668</v>
      </c>
      <c r="M241" s="8">
        <f>call_center_data[[#This Row],[avg_ht]]/86400</f>
        <v>1.9305555555555555E-2</v>
      </c>
      <c r="N241" s="5">
        <v>81</v>
      </c>
      <c r="O241" s="5">
        <v>5</v>
      </c>
    </row>
    <row r="242" spans="2:15" x14ac:dyDescent="0.25">
      <c r="B242" s="5">
        <v>10</v>
      </c>
      <c r="C242" s="5" t="str">
        <f>_xlfn.XLOOKUP(call_center_data[[#This Row],[agent_id]],Table1[Agent ID],Table1[Full Name])</f>
        <v>Mark Ventura</v>
      </c>
      <c r="D242" s="5" t="str">
        <f>_xlfn.XLOOKUP(call_center_data[[#This Row],[agent_id]],Table1[Agent ID],Table1[Supervisor])</f>
        <v>Lester De Mesa</v>
      </c>
      <c r="E242" s="6">
        <f>_xlfn.XLOOKUP(call_center_data[[#This Row],[agent_id]],Table1[Agent ID],Table1[Hire Date])</f>
        <v>44238</v>
      </c>
      <c r="F242" s="7">
        <f>DATEDIF(call_center_data[[#This Row],[Hire Date]],$Q$6,"M")</f>
        <v>4</v>
      </c>
      <c r="G242" s="6">
        <v>44354</v>
      </c>
      <c r="H242" s="6" t="str">
        <f>TEXT(call_center_data[[#This Row],[date]],"DDD")</f>
        <v>Mon</v>
      </c>
      <c r="I242" s="5">
        <v>1</v>
      </c>
      <c r="J242" s="5" t="str">
        <f>_xlfn.XLOOKUP(call_center_data[[#This Row],[product_id]],Table2[Product_ID],Table2[Product_Name])</f>
        <v>Personal Loan</v>
      </c>
      <c r="K242" s="5">
        <v>32</v>
      </c>
      <c r="L242" s="7">
        <v>1293</v>
      </c>
      <c r="M242" s="8">
        <f>call_center_data[[#This Row],[avg_ht]]/86400</f>
        <v>1.4965277777777777E-2</v>
      </c>
      <c r="N242" s="5">
        <v>28</v>
      </c>
      <c r="O242" s="5">
        <v>8</v>
      </c>
    </row>
    <row r="243" spans="2:15" x14ac:dyDescent="0.25">
      <c r="B243" s="5">
        <v>9</v>
      </c>
      <c r="C243" s="5" t="str">
        <f>_xlfn.XLOOKUP(call_center_data[[#This Row],[agent_id]],Table1[Agent ID],Table1[Full Name])</f>
        <v>Cherry Castillo</v>
      </c>
      <c r="D243" s="5" t="str">
        <f>_xlfn.XLOOKUP(call_center_data[[#This Row],[agent_id]],Table1[Agent ID],Table1[Supervisor])</f>
        <v>Lester De Mesa</v>
      </c>
      <c r="E243" s="6">
        <f>_xlfn.XLOOKUP(call_center_data[[#This Row],[agent_id]],Table1[Agent ID],Table1[Hire Date])</f>
        <v>44226</v>
      </c>
      <c r="F243" s="7">
        <f>DATEDIF(call_center_data[[#This Row],[Hire Date]],$Q$6,"M")</f>
        <v>5</v>
      </c>
      <c r="G243" s="6">
        <v>44366</v>
      </c>
      <c r="H243" s="6" t="str">
        <f>TEXT(call_center_data[[#This Row],[date]],"DDD")</f>
        <v>Sat</v>
      </c>
      <c r="I243" s="5">
        <v>3</v>
      </c>
      <c r="J243" s="5" t="str">
        <f>_xlfn.XLOOKUP(call_center_data[[#This Row],[product_id]],Table2[Product_ID],Table2[Product_Name])</f>
        <v>Property Loan</v>
      </c>
      <c r="K243" s="5">
        <v>37</v>
      </c>
      <c r="L243" s="7">
        <v>22</v>
      </c>
      <c r="M243" s="8">
        <f>call_center_data[[#This Row],[avg_ht]]/86400</f>
        <v>2.5462962962962961E-4</v>
      </c>
      <c r="N243" s="5">
        <v>72</v>
      </c>
      <c r="O243" s="5">
        <v>6</v>
      </c>
    </row>
    <row r="244" spans="2:15" x14ac:dyDescent="0.25">
      <c r="B244" s="5">
        <v>5</v>
      </c>
      <c r="C244" s="5" t="str">
        <f>_xlfn.XLOOKUP(call_center_data[[#This Row],[agent_id]],Table1[Agent ID],Table1[Full Name])</f>
        <v>Eric Molina</v>
      </c>
      <c r="D244" s="5" t="str">
        <f>_xlfn.XLOOKUP(call_center_data[[#This Row],[agent_id]],Table1[Agent ID],Table1[Supervisor])</f>
        <v>Lester De Mesa</v>
      </c>
      <c r="E244" s="6">
        <f>_xlfn.XLOOKUP(call_center_data[[#This Row],[agent_id]],Table1[Agent ID],Table1[Hire Date])</f>
        <v>43966</v>
      </c>
      <c r="F244" s="7">
        <f>DATEDIF(call_center_data[[#This Row],[Hire Date]],$Q$6,"M")</f>
        <v>13</v>
      </c>
      <c r="G244" s="6">
        <v>44348</v>
      </c>
      <c r="H244" s="6" t="str">
        <f>TEXT(call_center_data[[#This Row],[date]],"DDD")</f>
        <v>Tue</v>
      </c>
      <c r="I244" s="5">
        <v>2</v>
      </c>
      <c r="J244" s="5" t="str">
        <f>_xlfn.XLOOKUP(call_center_data[[#This Row],[product_id]],Table2[Product_ID],Table2[Product_Name])</f>
        <v>Car Loan</v>
      </c>
      <c r="K244" s="5">
        <v>20</v>
      </c>
      <c r="L244" s="7">
        <v>545</v>
      </c>
      <c r="M244" s="8">
        <f>call_center_data[[#This Row],[avg_ht]]/86400</f>
        <v>6.3078703703703708E-3</v>
      </c>
      <c r="N244" s="5">
        <v>27</v>
      </c>
      <c r="O244" s="5">
        <v>8</v>
      </c>
    </row>
    <row r="245" spans="2:15" x14ac:dyDescent="0.25">
      <c r="B245" s="5">
        <v>1</v>
      </c>
      <c r="C245" s="5" t="str">
        <f>_xlfn.XLOOKUP(call_center_data[[#This Row],[agent_id]],Table1[Agent ID],Table1[Full Name])</f>
        <v>Lisa Diaz</v>
      </c>
      <c r="D245" s="5" t="str">
        <f>_xlfn.XLOOKUP(call_center_data[[#This Row],[agent_id]],Table1[Agent ID],Table1[Supervisor])</f>
        <v>Carol Mario</v>
      </c>
      <c r="E245" s="6">
        <f>_xlfn.XLOOKUP(call_center_data[[#This Row],[agent_id]],Table1[Agent ID],Table1[Hire Date])</f>
        <v>43625</v>
      </c>
      <c r="F245" s="7">
        <f>DATEDIF(call_center_data[[#This Row],[Hire Date]],$Q$6,"M")</f>
        <v>24</v>
      </c>
      <c r="G245" s="6">
        <v>44362</v>
      </c>
      <c r="H245" s="6" t="str">
        <f>TEXT(call_center_data[[#This Row],[date]],"DDD")</f>
        <v>Tue</v>
      </c>
      <c r="I245" s="5">
        <v>3</v>
      </c>
      <c r="J245" s="5" t="str">
        <f>_xlfn.XLOOKUP(call_center_data[[#This Row],[product_id]],Table2[Product_ID],Table2[Product_Name])</f>
        <v>Property Loan</v>
      </c>
      <c r="K245" s="5">
        <v>10</v>
      </c>
      <c r="L245" s="7">
        <v>1275</v>
      </c>
      <c r="M245" s="8">
        <f>call_center_data[[#This Row],[avg_ht]]/86400</f>
        <v>1.4756944444444444E-2</v>
      </c>
      <c r="N245" s="5">
        <v>53</v>
      </c>
      <c r="O245" s="5">
        <v>7</v>
      </c>
    </row>
    <row r="246" spans="2:15" x14ac:dyDescent="0.25">
      <c r="B246" s="5">
        <v>8</v>
      </c>
      <c r="C246" s="5" t="str">
        <f>_xlfn.XLOOKUP(call_center_data[[#This Row],[agent_id]],Table1[Agent ID],Table1[Full Name])</f>
        <v>Rachel Delos Santos</v>
      </c>
      <c r="D246" s="5" t="str">
        <f>_xlfn.XLOOKUP(call_center_data[[#This Row],[agent_id]],Table1[Agent ID],Table1[Supervisor])</f>
        <v>Carol Mario</v>
      </c>
      <c r="E246" s="6">
        <f>_xlfn.XLOOKUP(call_center_data[[#This Row],[agent_id]],Table1[Agent ID],Table1[Hire Date])</f>
        <v>44212</v>
      </c>
      <c r="F246" s="7">
        <f>DATEDIF(call_center_data[[#This Row],[Hire Date]],$Q$6,"M")</f>
        <v>5</v>
      </c>
      <c r="G246" s="6">
        <v>44361</v>
      </c>
      <c r="H246" s="6" t="str">
        <f>TEXT(call_center_data[[#This Row],[date]],"DDD")</f>
        <v>Mon</v>
      </c>
      <c r="I246" s="5">
        <v>3</v>
      </c>
      <c r="J246" s="5" t="str">
        <f>_xlfn.XLOOKUP(call_center_data[[#This Row],[product_id]],Table2[Product_ID],Table2[Product_Name])</f>
        <v>Property Loan</v>
      </c>
      <c r="K246" s="5">
        <v>26</v>
      </c>
      <c r="L246" s="7">
        <v>356</v>
      </c>
      <c r="M246" s="8">
        <f>call_center_data[[#This Row],[avg_ht]]/86400</f>
        <v>4.1203703703703706E-3</v>
      </c>
      <c r="N246" s="5">
        <v>69</v>
      </c>
      <c r="O246" s="5">
        <v>7</v>
      </c>
    </row>
    <row r="247" spans="2:15" x14ac:dyDescent="0.25">
      <c r="B247" s="5">
        <v>2</v>
      </c>
      <c r="C247" s="5" t="str">
        <f>_xlfn.XLOOKUP(call_center_data[[#This Row],[agent_id]],Table1[Agent ID],Table1[Full Name])</f>
        <v>Josh Vega</v>
      </c>
      <c r="D247" s="5" t="str">
        <f>_xlfn.XLOOKUP(call_center_data[[#This Row],[agent_id]],Table1[Agent ID],Table1[Supervisor])</f>
        <v>Carol Mario</v>
      </c>
      <c r="E247" s="6">
        <f>_xlfn.XLOOKUP(call_center_data[[#This Row],[agent_id]],Table1[Agent ID],Table1[Hire Date])</f>
        <v>43687</v>
      </c>
      <c r="F247" s="7">
        <f>DATEDIF(call_center_data[[#This Row],[Hire Date]],$Q$6,"M")</f>
        <v>22</v>
      </c>
      <c r="G247" s="6">
        <v>44355</v>
      </c>
      <c r="H247" s="6" t="str">
        <f>TEXT(call_center_data[[#This Row],[date]],"DDD")</f>
        <v>Tue</v>
      </c>
      <c r="I247" s="5">
        <v>3</v>
      </c>
      <c r="J247" s="5" t="str">
        <f>_xlfn.XLOOKUP(call_center_data[[#This Row],[product_id]],Table2[Product_ID],Table2[Product_Name])</f>
        <v>Property Loan</v>
      </c>
      <c r="K247" s="5">
        <v>7</v>
      </c>
      <c r="L247" s="7">
        <v>9</v>
      </c>
      <c r="M247" s="8">
        <f>call_center_data[[#This Row],[avg_ht]]/86400</f>
        <v>1.0416666666666667E-4</v>
      </c>
      <c r="N247" s="5">
        <v>90</v>
      </c>
      <c r="O247" s="5">
        <v>6</v>
      </c>
    </row>
    <row r="248" spans="2:15" x14ac:dyDescent="0.25">
      <c r="B248" s="5">
        <v>9</v>
      </c>
      <c r="C248" s="5" t="str">
        <f>_xlfn.XLOOKUP(call_center_data[[#This Row],[agent_id]],Table1[Agent ID],Table1[Full Name])</f>
        <v>Cherry Castillo</v>
      </c>
      <c r="D248" s="5" t="str">
        <f>_xlfn.XLOOKUP(call_center_data[[#This Row],[agent_id]],Table1[Agent ID],Table1[Supervisor])</f>
        <v>Lester De Mesa</v>
      </c>
      <c r="E248" s="6">
        <f>_xlfn.XLOOKUP(call_center_data[[#This Row],[agent_id]],Table1[Agent ID],Table1[Hire Date])</f>
        <v>44226</v>
      </c>
      <c r="F248" s="7">
        <f>DATEDIF(call_center_data[[#This Row],[Hire Date]],$Q$6,"M")</f>
        <v>5</v>
      </c>
      <c r="G248" s="6">
        <v>44370</v>
      </c>
      <c r="H248" s="6" t="str">
        <f>TEXT(call_center_data[[#This Row],[date]],"DDD")</f>
        <v>Wed</v>
      </c>
      <c r="I248" s="5">
        <v>1</v>
      </c>
      <c r="J248" s="5" t="str">
        <f>_xlfn.XLOOKUP(call_center_data[[#This Row],[product_id]],Table2[Product_ID],Table2[Product_Name])</f>
        <v>Personal Loan</v>
      </c>
      <c r="K248" s="5">
        <v>33</v>
      </c>
      <c r="L248" s="7">
        <v>14</v>
      </c>
      <c r="M248" s="8">
        <f>call_center_data[[#This Row],[avg_ht]]/86400</f>
        <v>1.6203703703703703E-4</v>
      </c>
      <c r="N248" s="5">
        <v>21</v>
      </c>
      <c r="O248" s="5">
        <v>9</v>
      </c>
    </row>
    <row r="249" spans="2:15" x14ac:dyDescent="0.25">
      <c r="B249" s="5">
        <v>10</v>
      </c>
      <c r="C249" s="5" t="str">
        <f>_xlfn.XLOOKUP(call_center_data[[#This Row],[agent_id]],Table1[Agent ID],Table1[Full Name])</f>
        <v>Mark Ventura</v>
      </c>
      <c r="D249" s="5" t="str">
        <f>_xlfn.XLOOKUP(call_center_data[[#This Row],[agent_id]],Table1[Agent ID],Table1[Supervisor])</f>
        <v>Lester De Mesa</v>
      </c>
      <c r="E249" s="6">
        <f>_xlfn.XLOOKUP(call_center_data[[#This Row],[agent_id]],Table1[Agent ID],Table1[Hire Date])</f>
        <v>44238</v>
      </c>
      <c r="F249" s="7">
        <f>DATEDIF(call_center_data[[#This Row],[Hire Date]],$Q$6,"M")</f>
        <v>4</v>
      </c>
      <c r="G249" s="6">
        <v>44374</v>
      </c>
      <c r="H249" s="6" t="str">
        <f>TEXT(call_center_data[[#This Row],[date]],"DDD")</f>
        <v>Sun</v>
      </c>
      <c r="I249" s="5">
        <v>3</v>
      </c>
      <c r="J249" s="5" t="str">
        <f>_xlfn.XLOOKUP(call_center_data[[#This Row],[product_id]],Table2[Product_ID],Table2[Product_Name])</f>
        <v>Property Loan</v>
      </c>
      <c r="K249" s="5">
        <v>35</v>
      </c>
      <c r="L249" s="7">
        <v>479</v>
      </c>
      <c r="M249" s="8">
        <f>call_center_data[[#This Row],[avg_ht]]/86400</f>
        <v>5.5439814814814813E-3</v>
      </c>
      <c r="N249" s="5">
        <v>57</v>
      </c>
      <c r="O249" s="5">
        <v>7</v>
      </c>
    </row>
    <row r="250" spans="2:15" x14ac:dyDescent="0.25">
      <c r="B250" s="5">
        <v>2</v>
      </c>
      <c r="C250" s="5" t="str">
        <f>_xlfn.XLOOKUP(call_center_data[[#This Row],[agent_id]],Table1[Agent ID],Table1[Full Name])</f>
        <v>Josh Vega</v>
      </c>
      <c r="D250" s="5" t="str">
        <f>_xlfn.XLOOKUP(call_center_data[[#This Row],[agent_id]],Table1[Agent ID],Table1[Supervisor])</f>
        <v>Carol Mario</v>
      </c>
      <c r="E250" s="6">
        <f>_xlfn.XLOOKUP(call_center_data[[#This Row],[agent_id]],Table1[Agent ID],Table1[Hire Date])</f>
        <v>43687</v>
      </c>
      <c r="F250" s="7">
        <f>DATEDIF(call_center_data[[#This Row],[Hire Date]],$Q$6,"M")</f>
        <v>22</v>
      </c>
      <c r="G250" s="6">
        <v>44359</v>
      </c>
      <c r="H250" s="6" t="str">
        <f>TEXT(call_center_data[[#This Row],[date]],"DDD")</f>
        <v>Sat</v>
      </c>
      <c r="I250" s="5">
        <v>1</v>
      </c>
      <c r="J250" s="5" t="str">
        <f>_xlfn.XLOOKUP(call_center_data[[#This Row],[product_id]],Table2[Product_ID],Table2[Product_Name])</f>
        <v>Personal Loan</v>
      </c>
      <c r="K250" s="5">
        <v>28</v>
      </c>
      <c r="L250" s="7">
        <v>490</v>
      </c>
      <c r="M250" s="8">
        <f>call_center_data[[#This Row],[avg_ht]]/86400</f>
        <v>5.6712962962962967E-3</v>
      </c>
      <c r="N250" s="5">
        <v>33</v>
      </c>
      <c r="O250" s="5">
        <v>8</v>
      </c>
    </row>
    <row r="251" spans="2:15" x14ac:dyDescent="0.25">
      <c r="B251" s="5">
        <v>8</v>
      </c>
      <c r="C251" s="5" t="str">
        <f>_xlfn.XLOOKUP(call_center_data[[#This Row],[agent_id]],Table1[Agent ID],Table1[Full Name])</f>
        <v>Rachel Delos Santos</v>
      </c>
      <c r="D251" s="5" t="str">
        <f>_xlfn.XLOOKUP(call_center_data[[#This Row],[agent_id]],Table1[Agent ID],Table1[Supervisor])</f>
        <v>Carol Mario</v>
      </c>
      <c r="E251" s="6">
        <f>_xlfn.XLOOKUP(call_center_data[[#This Row],[agent_id]],Table1[Agent ID],Table1[Hire Date])</f>
        <v>44212</v>
      </c>
      <c r="F251" s="7">
        <f>DATEDIF(call_center_data[[#This Row],[Hire Date]],$Q$6,"M")</f>
        <v>5</v>
      </c>
      <c r="G251" s="6">
        <v>44372</v>
      </c>
      <c r="H251" s="6" t="str">
        <f>TEXT(call_center_data[[#This Row],[date]],"DDD")</f>
        <v>Fri</v>
      </c>
      <c r="I251" s="5">
        <v>2</v>
      </c>
      <c r="J251" s="5" t="str">
        <f>_xlfn.XLOOKUP(call_center_data[[#This Row],[product_id]],Table2[Product_ID],Table2[Product_Name])</f>
        <v>Car Loan</v>
      </c>
      <c r="K251" s="5">
        <v>30</v>
      </c>
      <c r="L251" s="7">
        <v>34</v>
      </c>
      <c r="M251" s="8">
        <f>call_center_data[[#This Row],[avg_ht]]/86400</f>
        <v>3.9351851851851852E-4</v>
      </c>
      <c r="N251" s="5">
        <v>34</v>
      </c>
      <c r="O251" s="5">
        <v>8</v>
      </c>
    </row>
    <row r="252" spans="2:15" x14ac:dyDescent="0.25">
      <c r="B252" s="5">
        <v>8</v>
      </c>
      <c r="C252" s="5" t="str">
        <f>_xlfn.XLOOKUP(call_center_data[[#This Row],[agent_id]],Table1[Agent ID],Table1[Full Name])</f>
        <v>Rachel Delos Santos</v>
      </c>
      <c r="D252" s="5" t="str">
        <f>_xlfn.XLOOKUP(call_center_data[[#This Row],[agent_id]],Table1[Agent ID],Table1[Supervisor])</f>
        <v>Carol Mario</v>
      </c>
      <c r="E252" s="6">
        <f>_xlfn.XLOOKUP(call_center_data[[#This Row],[agent_id]],Table1[Agent ID],Table1[Hire Date])</f>
        <v>44212</v>
      </c>
      <c r="F252" s="7">
        <f>DATEDIF(call_center_data[[#This Row],[Hire Date]],$Q$6,"M")</f>
        <v>5</v>
      </c>
      <c r="G252" s="6">
        <v>44362</v>
      </c>
      <c r="H252" s="6" t="str">
        <f>TEXT(call_center_data[[#This Row],[date]],"DDD")</f>
        <v>Tue</v>
      </c>
      <c r="I252" s="5">
        <v>1</v>
      </c>
      <c r="J252" s="5" t="str">
        <f>_xlfn.XLOOKUP(call_center_data[[#This Row],[product_id]],Table2[Product_ID],Table2[Product_Name])</f>
        <v>Personal Loan</v>
      </c>
      <c r="K252" s="5">
        <v>25</v>
      </c>
      <c r="L252" s="7">
        <v>1421</v>
      </c>
      <c r="M252" s="8">
        <f>call_center_data[[#This Row],[avg_ht]]/86400</f>
        <v>1.6446759259259258E-2</v>
      </c>
      <c r="N252" s="5">
        <v>36</v>
      </c>
      <c r="O252" s="5">
        <v>9</v>
      </c>
    </row>
    <row r="253" spans="2:15" x14ac:dyDescent="0.25">
      <c r="B253" s="5">
        <v>5</v>
      </c>
      <c r="C253" s="5" t="str">
        <f>_xlfn.XLOOKUP(call_center_data[[#This Row],[agent_id]],Table1[Agent ID],Table1[Full Name])</f>
        <v>Eric Molina</v>
      </c>
      <c r="D253" s="5" t="str">
        <f>_xlfn.XLOOKUP(call_center_data[[#This Row],[agent_id]],Table1[Agent ID],Table1[Supervisor])</f>
        <v>Lester De Mesa</v>
      </c>
      <c r="E253" s="6">
        <f>_xlfn.XLOOKUP(call_center_data[[#This Row],[agent_id]],Table1[Agent ID],Table1[Hire Date])</f>
        <v>43966</v>
      </c>
      <c r="F253" s="7">
        <f>DATEDIF(call_center_data[[#This Row],[Hire Date]],$Q$6,"M")</f>
        <v>13</v>
      </c>
      <c r="G253" s="6">
        <v>44351</v>
      </c>
      <c r="H253" s="6" t="str">
        <f>TEXT(call_center_data[[#This Row],[date]],"DDD")</f>
        <v>Fri</v>
      </c>
      <c r="I253" s="5">
        <v>2</v>
      </c>
      <c r="J253" s="5" t="str">
        <f>_xlfn.XLOOKUP(call_center_data[[#This Row],[product_id]],Table2[Product_ID],Table2[Product_Name])</f>
        <v>Car Loan</v>
      </c>
      <c r="K253" s="5">
        <v>22</v>
      </c>
      <c r="L253" s="7">
        <v>847</v>
      </c>
      <c r="M253" s="8">
        <f>call_center_data[[#This Row],[avg_ht]]/86400</f>
        <v>9.8032407407407408E-3</v>
      </c>
      <c r="N253" s="5">
        <v>78</v>
      </c>
      <c r="O253" s="5">
        <v>5</v>
      </c>
    </row>
    <row r="254" spans="2:15" x14ac:dyDescent="0.25">
      <c r="B254" s="5">
        <v>10</v>
      </c>
      <c r="C254" s="5" t="str">
        <f>_xlfn.XLOOKUP(call_center_data[[#This Row],[agent_id]],Table1[Agent ID],Table1[Full Name])</f>
        <v>Mark Ventura</v>
      </c>
      <c r="D254" s="5" t="str">
        <f>_xlfn.XLOOKUP(call_center_data[[#This Row],[agent_id]],Table1[Agent ID],Table1[Supervisor])</f>
        <v>Lester De Mesa</v>
      </c>
      <c r="E254" s="6">
        <f>_xlfn.XLOOKUP(call_center_data[[#This Row],[agent_id]],Table1[Agent ID],Table1[Hire Date])</f>
        <v>44238</v>
      </c>
      <c r="F254" s="7">
        <f>DATEDIF(call_center_data[[#This Row],[Hire Date]],$Q$6,"M")</f>
        <v>4</v>
      </c>
      <c r="G254" s="6">
        <v>44373</v>
      </c>
      <c r="H254" s="6" t="str">
        <f>TEXT(call_center_data[[#This Row],[date]],"DDD")</f>
        <v>Sat</v>
      </c>
      <c r="I254" s="5">
        <v>2</v>
      </c>
      <c r="J254" s="5" t="str">
        <f>_xlfn.XLOOKUP(call_center_data[[#This Row],[product_id]],Table2[Product_ID],Table2[Product_Name])</f>
        <v>Car Loan</v>
      </c>
      <c r="K254" s="5">
        <v>34</v>
      </c>
      <c r="L254" s="7">
        <v>468</v>
      </c>
      <c r="M254" s="8">
        <f>call_center_data[[#This Row],[avg_ht]]/86400</f>
        <v>5.4166666666666669E-3</v>
      </c>
      <c r="N254" s="5">
        <v>96</v>
      </c>
      <c r="O254" s="5">
        <v>5</v>
      </c>
    </row>
    <row r="255" spans="2:15" x14ac:dyDescent="0.25">
      <c r="B255" s="5">
        <v>9</v>
      </c>
      <c r="C255" s="5" t="str">
        <f>_xlfn.XLOOKUP(call_center_data[[#This Row],[agent_id]],Table1[Agent ID],Table1[Full Name])</f>
        <v>Cherry Castillo</v>
      </c>
      <c r="D255" s="5" t="str">
        <f>_xlfn.XLOOKUP(call_center_data[[#This Row],[agent_id]],Table1[Agent ID],Table1[Supervisor])</f>
        <v>Lester De Mesa</v>
      </c>
      <c r="E255" s="6">
        <f>_xlfn.XLOOKUP(call_center_data[[#This Row],[agent_id]],Table1[Agent ID],Table1[Hire Date])</f>
        <v>44226</v>
      </c>
      <c r="F255" s="7">
        <f>DATEDIF(call_center_data[[#This Row],[Hire Date]],$Q$6,"M")</f>
        <v>5</v>
      </c>
      <c r="G255" s="6">
        <v>44350</v>
      </c>
      <c r="H255" s="6" t="str">
        <f>TEXT(call_center_data[[#This Row],[date]],"DDD")</f>
        <v>Thu</v>
      </c>
      <c r="I255" s="5">
        <v>2</v>
      </c>
      <c r="J255" s="5" t="str">
        <f>_xlfn.XLOOKUP(call_center_data[[#This Row],[product_id]],Table2[Product_ID],Table2[Product_Name])</f>
        <v>Car Loan</v>
      </c>
      <c r="K255" s="5">
        <v>36</v>
      </c>
      <c r="L255" s="7">
        <v>896</v>
      </c>
      <c r="M255" s="8">
        <f>call_center_data[[#This Row],[avg_ht]]/86400</f>
        <v>1.037037037037037E-2</v>
      </c>
      <c r="N255" s="5">
        <v>45</v>
      </c>
      <c r="O255" s="5">
        <v>9</v>
      </c>
    </row>
    <row r="256" spans="2:15" x14ac:dyDescent="0.25">
      <c r="B256" s="5">
        <v>9</v>
      </c>
      <c r="C256" s="5" t="str">
        <f>_xlfn.XLOOKUP(call_center_data[[#This Row],[agent_id]],Table1[Agent ID],Table1[Full Name])</f>
        <v>Cherry Castillo</v>
      </c>
      <c r="D256" s="5" t="str">
        <f>_xlfn.XLOOKUP(call_center_data[[#This Row],[agent_id]],Table1[Agent ID],Table1[Supervisor])</f>
        <v>Lester De Mesa</v>
      </c>
      <c r="E256" s="6">
        <f>_xlfn.XLOOKUP(call_center_data[[#This Row],[agent_id]],Table1[Agent ID],Table1[Hire Date])</f>
        <v>44226</v>
      </c>
      <c r="F256" s="7">
        <f>DATEDIF(call_center_data[[#This Row],[Hire Date]],$Q$6,"M")</f>
        <v>5</v>
      </c>
      <c r="G256" s="6">
        <v>44355</v>
      </c>
      <c r="H256" s="6" t="str">
        <f>TEXT(call_center_data[[#This Row],[date]],"DDD")</f>
        <v>Tue</v>
      </c>
      <c r="I256" s="5">
        <v>1</v>
      </c>
      <c r="J256" s="5" t="str">
        <f>_xlfn.XLOOKUP(call_center_data[[#This Row],[product_id]],Table2[Product_ID],Table2[Product_Name])</f>
        <v>Personal Loan</v>
      </c>
      <c r="K256" s="5">
        <v>35</v>
      </c>
      <c r="L256" s="7">
        <v>1616</v>
      </c>
      <c r="M256" s="8">
        <f>call_center_data[[#This Row],[avg_ht]]/86400</f>
        <v>1.8703703703703705E-2</v>
      </c>
      <c r="N256" s="5">
        <v>27</v>
      </c>
      <c r="O256" s="5">
        <v>8</v>
      </c>
    </row>
  </sheetData>
  <sheetProtection algorithmName="SHA-512" hashValue="nr63Wzy+xgMqWtlp/pPgu4JywgBs+aqYveVK5bjAlRCCOdPxFrqhZ5Z0/SoDh4HJtar1ofWr7TIOGeNY4qzSng==" saltValue="r8jBS319vFwjYiYAYPUAiA==" spinCount="100000" sheet="1" objects="1" scenarios="1"/>
  <mergeCells count="5">
    <mergeCell ref="Q87:R87"/>
    <mergeCell ref="Q10:R10"/>
    <mergeCell ref="Q29:R29"/>
    <mergeCell ref="Q48:R48"/>
    <mergeCell ref="Q67:R67"/>
  </mergeCells>
  <phoneticPr fontId="1" type="noConversion"/>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ummary_statistics">
                <anchor moveWithCells="1" sizeWithCells="1">
                  <from>
                    <xdr:col>14</xdr:col>
                    <xdr:colOff>0</xdr:colOff>
                    <xdr:row>1</xdr:row>
                    <xdr:rowOff>142875</xdr:rowOff>
                  </from>
                  <to>
                    <xdr:col>14</xdr:col>
                    <xdr:colOff>1362075</xdr:colOff>
                    <xdr:row>3</xdr:row>
                    <xdr:rowOff>123825</xdr:rowOff>
                  </to>
                </anchor>
              </controlPr>
            </control>
          </mc:Choice>
        </mc:AlternateContent>
        <mc:AlternateContent xmlns:mc="http://schemas.openxmlformats.org/markup-compatibility/2006">
          <mc:Choice Requires="x14">
            <control shapeId="1029" r:id="rId5" name="Button 5">
              <controlPr defaultSize="0" print="0" autoFill="0" autoPict="0" macro="[0]!boxplot">
                <anchor moveWithCells="1" sizeWithCells="1">
                  <from>
                    <xdr:col>12</xdr:col>
                    <xdr:colOff>1133475</xdr:colOff>
                    <xdr:row>1</xdr:row>
                    <xdr:rowOff>152400</xdr:rowOff>
                  </from>
                  <to>
                    <xdr:col>13</xdr:col>
                    <xdr:colOff>1066800</xdr:colOff>
                    <xdr:row>3</xdr:row>
                    <xdr:rowOff>133350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5E987-CD06-4504-B85F-3ED5A6843F1D}">
  <sheetPr codeName="Sheet2"/>
  <dimension ref="A3:L24"/>
  <sheetViews>
    <sheetView showGridLines="0" workbookViewId="0">
      <selection activeCell="E25" sqref="E25"/>
    </sheetView>
  </sheetViews>
  <sheetFormatPr defaultRowHeight="15" x14ac:dyDescent="0.25"/>
  <cols>
    <col min="1" max="1" width="10.7109375" bestFit="1" customWidth="1"/>
    <col min="2" max="2" width="8.5703125" bestFit="1" customWidth="1"/>
    <col min="3" max="3" width="10.5703125" bestFit="1" customWidth="1"/>
    <col min="4" max="4" width="12.28515625" bestFit="1" customWidth="1"/>
    <col min="5" max="5" width="18.85546875" style="1" bestFit="1" customWidth="1"/>
    <col min="6" max="6" width="10.7109375" bestFit="1" customWidth="1"/>
    <col min="7" max="7" width="14.5703125" bestFit="1" customWidth="1"/>
    <col min="10" max="10" width="10.7109375" bestFit="1" customWidth="1"/>
    <col min="11" max="11" width="14.28515625" bestFit="1" customWidth="1"/>
    <col min="12" max="12" width="15.7109375" bestFit="1" customWidth="1"/>
  </cols>
  <sheetData>
    <row r="3" spans="1:12" s="3" customFormat="1" ht="15.75" thickBot="1" x14ac:dyDescent="0.3">
      <c r="A3"/>
      <c r="E3" s="9"/>
    </row>
    <row r="5" spans="1:12" x14ac:dyDescent="0.25">
      <c r="B5" s="10" t="s">
        <v>6</v>
      </c>
      <c r="C5" s="10" t="s">
        <v>7</v>
      </c>
      <c r="D5" s="10" t="s">
        <v>8</v>
      </c>
      <c r="E5" s="10" t="s">
        <v>42</v>
      </c>
      <c r="F5" s="11" t="s">
        <v>9</v>
      </c>
      <c r="G5" s="10" t="s">
        <v>10</v>
      </c>
      <c r="H5" s="12"/>
      <c r="J5" s="10" t="s">
        <v>33</v>
      </c>
      <c r="K5" s="10" t="s">
        <v>34</v>
      </c>
      <c r="L5" s="10" t="s">
        <v>35</v>
      </c>
    </row>
    <row r="6" spans="1:12" x14ac:dyDescent="0.25">
      <c r="B6" s="5">
        <v>1</v>
      </c>
      <c r="C6" s="5" t="s">
        <v>11</v>
      </c>
      <c r="D6" s="5" t="s">
        <v>12</v>
      </c>
      <c r="E6" s="5" t="str">
        <f>CONCATENATE(Table1[[#This Row],[First Name]]," ",Table1[[#This Row],[Last Name]])</f>
        <v>Lisa Diaz</v>
      </c>
      <c r="F6" s="6">
        <v>43625</v>
      </c>
      <c r="G6" s="5" t="s">
        <v>13</v>
      </c>
      <c r="H6" s="5"/>
      <c r="J6" s="5">
        <v>1</v>
      </c>
      <c r="K6" s="5" t="s">
        <v>36</v>
      </c>
      <c r="L6" s="5" t="s">
        <v>37</v>
      </c>
    </row>
    <row r="7" spans="1:12" x14ac:dyDescent="0.25">
      <c r="B7" s="5">
        <v>2</v>
      </c>
      <c r="C7" s="5" t="s">
        <v>14</v>
      </c>
      <c r="D7" s="5" t="s">
        <v>15</v>
      </c>
      <c r="E7" s="5" t="str">
        <f>CONCATENATE(Table1[[#This Row],[First Name]]," ",Table1[[#This Row],[Last Name]])</f>
        <v>Josh Vega</v>
      </c>
      <c r="F7" s="6">
        <v>43687</v>
      </c>
      <c r="G7" s="5" t="s">
        <v>13</v>
      </c>
      <c r="H7" s="5"/>
      <c r="J7" s="5">
        <v>2</v>
      </c>
      <c r="K7" s="5" t="s">
        <v>38</v>
      </c>
      <c r="L7" s="5" t="s">
        <v>39</v>
      </c>
    </row>
    <row r="8" spans="1:12" x14ac:dyDescent="0.25">
      <c r="B8" s="5">
        <v>3</v>
      </c>
      <c r="C8" s="5" t="s">
        <v>16</v>
      </c>
      <c r="D8" s="5" t="s">
        <v>17</v>
      </c>
      <c r="E8" s="5" t="str">
        <f>CONCATENATE(Table1[[#This Row],[First Name]]," ",Table1[[#This Row],[Last Name]])</f>
        <v>Cecille Chen</v>
      </c>
      <c r="F8" s="6">
        <v>43727</v>
      </c>
      <c r="G8" s="5" t="s">
        <v>18</v>
      </c>
      <c r="H8" s="5"/>
      <c r="J8" s="5">
        <v>3</v>
      </c>
      <c r="K8" s="5" t="s">
        <v>40</v>
      </c>
      <c r="L8" s="5" t="s">
        <v>41</v>
      </c>
    </row>
    <row r="9" spans="1:12" x14ac:dyDescent="0.25">
      <c r="B9" s="5">
        <v>4</v>
      </c>
      <c r="C9" s="5" t="s">
        <v>19</v>
      </c>
      <c r="D9" s="5" t="s">
        <v>20</v>
      </c>
      <c r="E9" s="5" t="str">
        <f>CONCATENATE(Table1[[#This Row],[First Name]]," ",Table1[[#This Row],[Last Name]])</f>
        <v>Jay Alvarez</v>
      </c>
      <c r="F9" s="6">
        <v>43871</v>
      </c>
      <c r="G9" s="5" t="s">
        <v>13</v>
      </c>
      <c r="H9" s="5"/>
    </row>
    <row r="10" spans="1:12" x14ac:dyDescent="0.25">
      <c r="B10" s="5">
        <v>5</v>
      </c>
      <c r="C10" s="5" t="s">
        <v>21</v>
      </c>
      <c r="D10" s="5" t="s">
        <v>22</v>
      </c>
      <c r="E10" s="5" t="str">
        <f>CONCATENATE(Table1[[#This Row],[First Name]]," ",Table1[[#This Row],[Last Name]])</f>
        <v>Eric Molina</v>
      </c>
      <c r="F10" s="6">
        <v>43966</v>
      </c>
      <c r="G10" s="5" t="s">
        <v>18</v>
      </c>
      <c r="H10" s="5"/>
    </row>
    <row r="11" spans="1:12" x14ac:dyDescent="0.25">
      <c r="B11" s="5">
        <v>6</v>
      </c>
      <c r="C11" s="5" t="s">
        <v>23</v>
      </c>
      <c r="D11" s="5" t="s">
        <v>24</v>
      </c>
      <c r="E11" s="5" t="str">
        <f>CONCATENATE(Table1[[#This Row],[First Name]]," ",Table1[[#This Row],[Last Name]])</f>
        <v>Jane Hernandez</v>
      </c>
      <c r="F11" s="6">
        <v>44116</v>
      </c>
      <c r="G11" s="5" t="s">
        <v>18</v>
      </c>
      <c r="H11" s="5"/>
    </row>
    <row r="12" spans="1:12" x14ac:dyDescent="0.25">
      <c r="B12" s="5">
        <v>7</v>
      </c>
      <c r="C12" s="5" t="s">
        <v>25</v>
      </c>
      <c r="D12" s="5" t="s">
        <v>26</v>
      </c>
      <c r="E12" s="5" t="str">
        <f>CONCATENATE(Table1[[#This Row],[First Name]]," ",Table1[[#This Row],[Last Name]])</f>
        <v>Peter Rivera</v>
      </c>
      <c r="F12" s="6">
        <v>44170</v>
      </c>
      <c r="G12" s="5" t="s">
        <v>13</v>
      </c>
      <c r="H12" s="5"/>
    </row>
    <row r="13" spans="1:12" x14ac:dyDescent="0.25">
      <c r="B13" s="5">
        <v>8</v>
      </c>
      <c r="C13" s="5" t="s">
        <v>27</v>
      </c>
      <c r="D13" s="5" t="s">
        <v>28</v>
      </c>
      <c r="E13" s="5" t="str">
        <f>CONCATENATE(Table1[[#This Row],[First Name]]," ",Table1[[#This Row],[Last Name]])</f>
        <v>Rachel Delos Santos</v>
      </c>
      <c r="F13" s="6">
        <v>44212</v>
      </c>
      <c r="G13" s="5" t="s">
        <v>13</v>
      </c>
      <c r="H13" s="5"/>
    </row>
    <row r="14" spans="1:12" x14ac:dyDescent="0.25">
      <c r="B14" s="5">
        <v>9</v>
      </c>
      <c r="C14" s="5" t="s">
        <v>29</v>
      </c>
      <c r="D14" s="5" t="s">
        <v>30</v>
      </c>
      <c r="E14" s="5" t="str">
        <f>CONCATENATE(Table1[[#This Row],[First Name]]," ",Table1[[#This Row],[Last Name]])</f>
        <v>Cherry Castillo</v>
      </c>
      <c r="F14" s="6">
        <v>44226</v>
      </c>
      <c r="G14" s="5" t="s">
        <v>18</v>
      </c>
      <c r="H14" s="5"/>
    </row>
    <row r="15" spans="1:12" x14ac:dyDescent="0.25">
      <c r="B15" s="5">
        <v>10</v>
      </c>
      <c r="C15" s="5" t="s">
        <v>31</v>
      </c>
      <c r="D15" s="5" t="s">
        <v>32</v>
      </c>
      <c r="E15" s="5" t="str">
        <f>CONCATENATE(Table1[[#This Row],[First Name]]," ",Table1[[#This Row],[Last Name]])</f>
        <v>Mark Ventura</v>
      </c>
      <c r="F15" s="6">
        <v>44238</v>
      </c>
      <c r="G15" s="5" t="s">
        <v>18</v>
      </c>
      <c r="H15" s="5"/>
    </row>
    <row r="16" spans="1:12" x14ac:dyDescent="0.25">
      <c r="E16"/>
      <c r="F16" s="1"/>
    </row>
    <row r="17" spans="5:6" x14ac:dyDescent="0.25">
      <c r="E17"/>
      <c r="F17" s="1"/>
    </row>
    <row r="18" spans="5:6" x14ac:dyDescent="0.25">
      <c r="E18"/>
      <c r="F18" s="1"/>
    </row>
    <row r="19" spans="5:6" x14ac:dyDescent="0.25">
      <c r="E19"/>
      <c r="F19" s="1"/>
    </row>
    <row r="20" spans="5:6" x14ac:dyDescent="0.25">
      <c r="E20"/>
      <c r="F20" s="1"/>
    </row>
    <row r="21" spans="5:6" x14ac:dyDescent="0.25">
      <c r="E21"/>
      <c r="F21" s="1"/>
    </row>
    <row r="22" spans="5:6" x14ac:dyDescent="0.25">
      <c r="E22"/>
      <c r="F22" s="1"/>
    </row>
    <row r="23" spans="5:6" x14ac:dyDescent="0.25">
      <c r="E23"/>
      <c r="F23" s="1"/>
    </row>
    <row r="24" spans="5:6" x14ac:dyDescent="0.25">
      <c r="E24"/>
      <c r="F24" s="1"/>
    </row>
  </sheetData>
  <sheetProtection algorithmName="SHA-512" hashValue="OctffpBbHOWMnofLVSYDNABozrmF3MAuqhuuLsV/aUlw7DlL3JHNPvJAFgyCm8sc/aPfW+l95wUUUR/zWj5Q+g==" saltValue="uDfLAg+0RPHhiS5KeZJ/1Q==" spinCount="100000" sheet="1" objects="1" scenarios="1"/>
  <pageMargins left="0.7" right="0.7" top="0.75" bottom="0.75" header="0.3" footer="0.3"/>
  <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76268-14E1-4FA1-A91A-957F0A4F77B1}">
  <sheetPr codeName="Sheet3"/>
  <dimension ref="A3:C14"/>
  <sheetViews>
    <sheetView showGridLines="0" zoomScaleNormal="100" workbookViewId="0">
      <selection activeCell="J31" sqref="J31"/>
    </sheetView>
  </sheetViews>
  <sheetFormatPr defaultRowHeight="15" x14ac:dyDescent="0.25"/>
  <cols>
    <col min="1" max="1" width="18.85546875" bestFit="1" customWidth="1"/>
    <col min="2" max="2" width="17.28515625" bestFit="1" customWidth="1"/>
    <col min="3" max="3" width="31.42578125" bestFit="1" customWidth="1"/>
  </cols>
  <sheetData>
    <row r="3" spans="1:3" x14ac:dyDescent="0.25">
      <c r="A3" s="17" t="s">
        <v>65</v>
      </c>
      <c r="B3" t="s">
        <v>77</v>
      </c>
      <c r="C3" t="s">
        <v>78</v>
      </c>
    </row>
    <row r="4" spans="1:3" x14ac:dyDescent="0.25">
      <c r="A4" s="18" t="s">
        <v>73</v>
      </c>
      <c r="B4" s="2">
        <v>4</v>
      </c>
      <c r="C4" s="19">
        <v>7.833333333333333</v>
      </c>
    </row>
    <row r="5" spans="1:3" x14ac:dyDescent="0.25">
      <c r="A5" s="18" t="s">
        <v>75</v>
      </c>
      <c r="B5" s="2">
        <v>5</v>
      </c>
      <c r="C5" s="19">
        <v>7.2592592592592595</v>
      </c>
    </row>
    <row r="6" spans="1:3" x14ac:dyDescent="0.25">
      <c r="A6" s="18" t="s">
        <v>67</v>
      </c>
      <c r="B6" s="2">
        <v>5</v>
      </c>
      <c r="C6" s="19">
        <v>7.6296296296296298</v>
      </c>
    </row>
    <row r="7" spans="1:3" x14ac:dyDescent="0.25">
      <c r="A7" s="18" t="s">
        <v>74</v>
      </c>
      <c r="B7" s="2">
        <v>6</v>
      </c>
      <c r="C7" s="19">
        <v>7.64</v>
      </c>
    </row>
    <row r="8" spans="1:3" x14ac:dyDescent="0.25">
      <c r="A8" s="18" t="s">
        <v>69</v>
      </c>
      <c r="B8" s="2">
        <v>8</v>
      </c>
      <c r="C8" s="19">
        <v>7.291666666666667</v>
      </c>
    </row>
    <row r="9" spans="1:3" x14ac:dyDescent="0.25">
      <c r="A9" s="18" t="s">
        <v>68</v>
      </c>
      <c r="B9" s="2">
        <v>13</v>
      </c>
      <c r="C9" s="19">
        <v>7.88</v>
      </c>
    </row>
    <row r="10" spans="1:3" x14ac:dyDescent="0.25">
      <c r="A10" s="18" t="s">
        <v>70</v>
      </c>
      <c r="B10" s="2">
        <v>16</v>
      </c>
      <c r="C10" s="19">
        <v>7.5384615384615383</v>
      </c>
    </row>
    <row r="11" spans="1:3" x14ac:dyDescent="0.25">
      <c r="A11" s="18" t="s">
        <v>66</v>
      </c>
      <c r="B11" s="2">
        <v>21</v>
      </c>
      <c r="C11" s="19">
        <v>7.12</v>
      </c>
    </row>
    <row r="12" spans="1:3" x14ac:dyDescent="0.25">
      <c r="A12" s="18" t="s">
        <v>71</v>
      </c>
      <c r="B12" s="2">
        <v>22</v>
      </c>
      <c r="C12" s="19">
        <v>7.625</v>
      </c>
    </row>
    <row r="13" spans="1:3" x14ac:dyDescent="0.25">
      <c r="A13" s="18" t="s">
        <v>72</v>
      </c>
      <c r="B13" s="2">
        <v>24</v>
      </c>
      <c r="C13" s="19">
        <v>7.458333333333333</v>
      </c>
    </row>
    <row r="14" spans="1:3" x14ac:dyDescent="0.25">
      <c r="A14" s="18" t="s">
        <v>76</v>
      </c>
      <c r="B14" s="19">
        <v>12.262948207171315</v>
      </c>
      <c r="C14" s="19">
        <v>7.5258964143426299</v>
      </c>
    </row>
  </sheetData>
  <pageMargins left="0.7" right="0.7" top="0.75" bottom="0.75" header="0.3" footer="0.3"/>
  <pageSetup orientation="portrait" horizontalDpi="4294967293" verticalDpi="0" r:id="rId2"/>
  <drawing r:id="rId3"/>
  <extLst>
    <ext xmlns:x14="http://schemas.microsoft.com/office/spreadsheetml/2009/9/main" uri="{05C60535-1F16-4fd2-B633-F4F36F0B64E0}">
      <x14:sparklineGroups xmlns:xm="http://schemas.microsoft.com/office/excel/2006/main">
        <x14:sparklineGroup displayEmptyCellsAs="gap" xr2:uid="{E38E54E2-BCD6-4C02-87C5-324B4E4938B6}">
          <x14:colorSeries rgb="FF376092"/>
          <x14:colorNegative rgb="FFD00000"/>
          <x14:colorAxis rgb="FF000000"/>
          <x14:colorMarkers rgb="FFD00000"/>
          <x14:colorFirst rgb="FFD00000"/>
          <x14:colorLast rgb="FFD00000"/>
          <x14:colorHigh rgb="FFD00000"/>
          <x14:colorLow rgb="FFD00000"/>
          <x14:sparklines>
            <x14:sparkline>
              <xm:f>'Analysis#1'!C4</xm:f>
              <xm:sqref>D4</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D9A68-8DDE-44CA-85B9-0EAABFCB7C41}">
  <sheetPr codeName="Sheet4"/>
  <dimension ref="A3:B7"/>
  <sheetViews>
    <sheetView showGridLines="0" zoomScaleNormal="100" workbookViewId="0">
      <selection activeCell="A17" sqref="A17"/>
    </sheetView>
  </sheetViews>
  <sheetFormatPr defaultRowHeight="15" x14ac:dyDescent="0.25"/>
  <cols>
    <col min="1" max="1" width="13.42578125" bestFit="1" customWidth="1"/>
    <col min="2" max="2" width="28.42578125" bestFit="1" customWidth="1"/>
    <col min="3" max="4" width="20" bestFit="1" customWidth="1"/>
  </cols>
  <sheetData>
    <row r="3" spans="1:2" x14ac:dyDescent="0.25">
      <c r="A3" s="17" t="s">
        <v>65</v>
      </c>
      <c r="B3" t="s">
        <v>88</v>
      </c>
    </row>
    <row r="4" spans="1:2" x14ac:dyDescent="0.25">
      <c r="A4" s="18" t="s">
        <v>40</v>
      </c>
      <c r="B4" s="20">
        <v>4.1045249118165789E-3</v>
      </c>
    </row>
    <row r="5" spans="1:2" x14ac:dyDescent="0.25">
      <c r="A5" s="18" t="s">
        <v>38</v>
      </c>
      <c r="B5" s="20">
        <v>5.4727458112874784E-3</v>
      </c>
    </row>
    <row r="6" spans="1:2" x14ac:dyDescent="0.25">
      <c r="A6" s="18" t="s">
        <v>36</v>
      </c>
      <c r="B6" s="20">
        <v>1.2994896251673356E-2</v>
      </c>
    </row>
    <row r="7" spans="1:2" x14ac:dyDescent="0.25">
      <c r="A7" s="18" t="s">
        <v>76</v>
      </c>
      <c r="B7" s="20">
        <v>7.5022594805961374E-3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97DC1-DB31-4BCF-A1C9-B0020B7186AE}">
  <sheetPr codeName="Sheet5"/>
  <dimension ref="A3:B11"/>
  <sheetViews>
    <sheetView showGridLines="0" zoomScaleNormal="100" workbookViewId="0">
      <selection activeCell="E28" sqref="E28"/>
    </sheetView>
  </sheetViews>
  <sheetFormatPr defaultRowHeight="15" x14ac:dyDescent="0.25"/>
  <cols>
    <col min="1" max="1" width="13.140625" bestFit="1" customWidth="1"/>
    <col min="2" max="2" width="20" bestFit="1" customWidth="1"/>
  </cols>
  <sheetData>
    <row r="3" spans="1:2" x14ac:dyDescent="0.25">
      <c r="A3" s="17" t="s">
        <v>65</v>
      </c>
      <c r="B3" t="s">
        <v>86</v>
      </c>
    </row>
    <row r="4" spans="1:2" x14ac:dyDescent="0.25">
      <c r="A4" s="18" t="s">
        <v>79</v>
      </c>
      <c r="B4">
        <v>733</v>
      </c>
    </row>
    <row r="5" spans="1:2" x14ac:dyDescent="0.25">
      <c r="A5" s="18" t="s">
        <v>80</v>
      </c>
      <c r="B5">
        <v>561</v>
      </c>
    </row>
    <row r="6" spans="1:2" x14ac:dyDescent="0.25">
      <c r="A6" s="18" t="s">
        <v>81</v>
      </c>
      <c r="B6">
        <v>700</v>
      </c>
    </row>
    <row r="7" spans="1:2" x14ac:dyDescent="0.25">
      <c r="A7" s="18" t="s">
        <v>82</v>
      </c>
      <c r="B7">
        <v>755</v>
      </c>
    </row>
    <row r="8" spans="1:2" x14ac:dyDescent="0.25">
      <c r="A8" s="18" t="s">
        <v>83</v>
      </c>
      <c r="B8">
        <v>785</v>
      </c>
    </row>
    <row r="9" spans="1:2" x14ac:dyDescent="0.25">
      <c r="A9" s="18" t="s">
        <v>84</v>
      </c>
      <c r="B9">
        <v>1008</v>
      </c>
    </row>
    <row r="10" spans="1:2" x14ac:dyDescent="0.25">
      <c r="A10" s="18" t="s">
        <v>85</v>
      </c>
      <c r="B10">
        <v>1031</v>
      </c>
    </row>
    <row r="11" spans="1:2" x14ac:dyDescent="0.25">
      <c r="A11" s="18" t="s">
        <v>76</v>
      </c>
      <c r="B11">
        <v>5573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E7933-2FE2-4FCB-AA9B-AB3F3BE70932}">
  <sheetPr codeName="Sheet6"/>
  <dimension ref="A1:C36"/>
  <sheetViews>
    <sheetView showGridLines="0" tabSelected="1" zoomScaleNormal="100" workbookViewId="0">
      <selection activeCell="O20" sqref="O20"/>
    </sheetView>
  </sheetViews>
  <sheetFormatPr defaultRowHeight="15" x14ac:dyDescent="0.25"/>
  <cols>
    <col min="1" max="1" width="13.140625" bestFit="1" customWidth="1"/>
    <col min="2" max="2" width="26.42578125" bestFit="1" customWidth="1"/>
    <col min="3" max="3" width="28.42578125" bestFit="1" customWidth="1"/>
  </cols>
  <sheetData>
    <row r="1" spans="1:3" x14ac:dyDescent="0.25">
      <c r="A1" s="17" t="s">
        <v>65</v>
      </c>
      <c r="B1" t="s">
        <v>86</v>
      </c>
      <c r="C1" t="s">
        <v>87</v>
      </c>
    </row>
    <row r="2" spans="1:3" x14ac:dyDescent="0.25">
      <c r="A2" s="18" t="s">
        <v>79</v>
      </c>
      <c r="B2">
        <v>733</v>
      </c>
      <c r="C2" s="19">
        <v>44.222222222222221</v>
      </c>
    </row>
    <row r="3" spans="1:3" x14ac:dyDescent="0.25">
      <c r="A3" s="18" t="s">
        <v>80</v>
      </c>
      <c r="B3">
        <v>561</v>
      </c>
      <c r="C3" s="19">
        <v>47.357142857142854</v>
      </c>
    </row>
    <row r="4" spans="1:3" x14ac:dyDescent="0.25">
      <c r="A4" s="18" t="s">
        <v>81</v>
      </c>
      <c r="B4">
        <v>700</v>
      </c>
      <c r="C4" s="19">
        <v>48.114285714285714</v>
      </c>
    </row>
    <row r="5" spans="1:3" x14ac:dyDescent="0.25">
      <c r="A5" s="18" t="s">
        <v>82</v>
      </c>
      <c r="B5">
        <v>755</v>
      </c>
      <c r="C5" s="19">
        <v>41.027027027027025</v>
      </c>
    </row>
    <row r="6" spans="1:3" x14ac:dyDescent="0.25">
      <c r="A6" s="18" t="s">
        <v>83</v>
      </c>
      <c r="B6">
        <v>785</v>
      </c>
      <c r="C6" s="19">
        <v>45.763157894736842</v>
      </c>
    </row>
    <row r="7" spans="1:3" x14ac:dyDescent="0.25">
      <c r="A7" s="18" t="s">
        <v>84</v>
      </c>
      <c r="B7">
        <v>1008</v>
      </c>
      <c r="C7" s="19">
        <v>60.736842105263158</v>
      </c>
    </row>
    <row r="8" spans="1:3" x14ac:dyDescent="0.25">
      <c r="A8" s="18" t="s">
        <v>85</v>
      </c>
      <c r="B8">
        <v>1031</v>
      </c>
      <c r="C8" s="19">
        <v>66.179487179487182</v>
      </c>
    </row>
    <row r="9" spans="1:3" x14ac:dyDescent="0.25">
      <c r="A9" s="18" t="s">
        <v>76</v>
      </c>
      <c r="B9">
        <v>5573</v>
      </c>
      <c r="C9" s="19">
        <v>50.788844621513945</v>
      </c>
    </row>
    <row r="28" spans="1:3" x14ac:dyDescent="0.25">
      <c r="A28" s="17" t="s">
        <v>65</v>
      </c>
      <c r="B28" t="s">
        <v>87</v>
      </c>
      <c r="C28" t="s">
        <v>88</v>
      </c>
    </row>
    <row r="29" spans="1:3" x14ac:dyDescent="0.25">
      <c r="A29" s="18" t="s">
        <v>79</v>
      </c>
      <c r="B29" s="19">
        <v>44.222222222222221</v>
      </c>
      <c r="C29" s="20">
        <v>8.1192129629629652E-3</v>
      </c>
    </row>
    <row r="30" spans="1:3" x14ac:dyDescent="0.25">
      <c r="A30" s="18" t="s">
        <v>80</v>
      </c>
      <c r="B30" s="19">
        <v>47.357142857142854</v>
      </c>
      <c r="C30" s="20">
        <v>8.0369543650793667E-3</v>
      </c>
    </row>
    <row r="31" spans="1:3" x14ac:dyDescent="0.25">
      <c r="A31" s="18" t="s">
        <v>81</v>
      </c>
      <c r="B31" s="19">
        <v>48.114285714285714</v>
      </c>
      <c r="C31" s="20">
        <v>7.991071428571429E-3</v>
      </c>
    </row>
    <row r="32" spans="1:3" x14ac:dyDescent="0.25">
      <c r="A32" s="18" t="s">
        <v>82</v>
      </c>
      <c r="B32" s="19">
        <v>41.027027027027025</v>
      </c>
      <c r="C32" s="20">
        <v>7.407094594594597E-3</v>
      </c>
    </row>
    <row r="33" spans="1:3" x14ac:dyDescent="0.25">
      <c r="A33" s="18" t="s">
        <v>83</v>
      </c>
      <c r="B33" s="19">
        <v>45.763157894736842</v>
      </c>
      <c r="C33" s="20">
        <v>5.9761817738791419E-3</v>
      </c>
    </row>
    <row r="34" spans="1:3" x14ac:dyDescent="0.25">
      <c r="A34" s="18" t="s">
        <v>84</v>
      </c>
      <c r="B34" s="19">
        <v>60.736842105263158</v>
      </c>
      <c r="C34" s="20">
        <v>7.7866106237816793E-3</v>
      </c>
    </row>
    <row r="35" spans="1:3" x14ac:dyDescent="0.25">
      <c r="A35" s="18" t="s">
        <v>85</v>
      </c>
      <c r="B35" s="19">
        <v>66.179487179487182</v>
      </c>
      <c r="C35" s="20">
        <v>7.410375118708454E-3</v>
      </c>
    </row>
    <row r="36" spans="1:3" x14ac:dyDescent="0.25">
      <c r="A36" s="18" t="s">
        <v>76</v>
      </c>
      <c r="B36" s="19">
        <v>50.788844621513945</v>
      </c>
      <c r="C36" s="20">
        <v>7.5022594805961287E-3</v>
      </c>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2C5E8-4814-44DE-8341-7D3186CAAAD3}">
  <sheetPr codeName="Sheet13"/>
  <dimension ref="A1:C31"/>
  <sheetViews>
    <sheetView showGridLines="0" topLeftCell="D1" zoomScaleNormal="100" workbookViewId="0">
      <selection activeCell="L21" sqref="L21"/>
    </sheetView>
  </sheetViews>
  <sheetFormatPr defaultRowHeight="15" x14ac:dyDescent="0.25"/>
  <cols>
    <col min="1" max="1" width="13.140625" bestFit="1" customWidth="1"/>
    <col min="2" max="2" width="20" bestFit="1" customWidth="1"/>
    <col min="3" max="3" width="26.140625" bestFit="1" customWidth="1"/>
    <col min="4" max="4" width="18.85546875" bestFit="1" customWidth="1"/>
    <col min="5" max="5" width="17.28515625" bestFit="1" customWidth="1"/>
  </cols>
  <sheetData>
    <row r="1" spans="1:3" x14ac:dyDescent="0.25">
      <c r="A1" s="17" t="s">
        <v>65</v>
      </c>
      <c r="B1" t="s">
        <v>86</v>
      </c>
      <c r="C1" t="s">
        <v>87</v>
      </c>
    </row>
    <row r="2" spans="1:3" x14ac:dyDescent="0.25">
      <c r="A2" s="18" t="s">
        <v>79</v>
      </c>
      <c r="B2">
        <v>733</v>
      </c>
      <c r="C2" s="19">
        <v>44.222222222222221</v>
      </c>
    </row>
    <row r="3" spans="1:3" x14ac:dyDescent="0.25">
      <c r="A3" s="18" t="s">
        <v>80</v>
      </c>
      <c r="B3">
        <v>561</v>
      </c>
      <c r="C3" s="19">
        <v>47.357142857142854</v>
      </c>
    </row>
    <row r="4" spans="1:3" x14ac:dyDescent="0.25">
      <c r="A4" s="18" t="s">
        <v>81</v>
      </c>
      <c r="B4">
        <v>700</v>
      </c>
      <c r="C4" s="19">
        <v>48.114285714285714</v>
      </c>
    </row>
    <row r="5" spans="1:3" x14ac:dyDescent="0.25">
      <c r="A5" s="18" t="s">
        <v>82</v>
      </c>
      <c r="B5">
        <v>755</v>
      </c>
      <c r="C5" s="19">
        <v>41.027027027027025</v>
      </c>
    </row>
    <row r="6" spans="1:3" x14ac:dyDescent="0.25">
      <c r="A6" s="18" t="s">
        <v>83</v>
      </c>
      <c r="B6">
        <v>785</v>
      </c>
      <c r="C6" s="19">
        <v>45.763157894736842</v>
      </c>
    </row>
    <row r="7" spans="1:3" x14ac:dyDescent="0.25">
      <c r="A7" s="18" t="s">
        <v>84</v>
      </c>
      <c r="B7">
        <v>1008</v>
      </c>
      <c r="C7" s="19">
        <v>60.736842105263158</v>
      </c>
    </row>
    <row r="8" spans="1:3" x14ac:dyDescent="0.25">
      <c r="A8" s="18" t="s">
        <v>85</v>
      </c>
      <c r="B8">
        <v>1031</v>
      </c>
      <c r="C8" s="19">
        <v>66.179487179487182</v>
      </c>
    </row>
    <row r="9" spans="1:3" x14ac:dyDescent="0.25">
      <c r="A9" s="18" t="s">
        <v>76</v>
      </c>
      <c r="B9">
        <v>5573</v>
      </c>
      <c r="C9" s="19">
        <v>50.788844621513945</v>
      </c>
    </row>
    <row r="23" spans="1:3" x14ac:dyDescent="0.25">
      <c r="A23" s="17" t="s">
        <v>65</v>
      </c>
      <c r="B23" t="s">
        <v>86</v>
      </c>
      <c r="C23" t="s">
        <v>102</v>
      </c>
    </row>
    <row r="24" spans="1:3" x14ac:dyDescent="0.25">
      <c r="A24" s="18" t="s">
        <v>79</v>
      </c>
      <c r="B24">
        <v>733</v>
      </c>
      <c r="C24" s="19">
        <v>7.9722222222222223</v>
      </c>
    </row>
    <row r="25" spans="1:3" x14ac:dyDescent="0.25">
      <c r="A25" s="18" t="s">
        <v>80</v>
      </c>
      <c r="B25">
        <v>561</v>
      </c>
      <c r="C25" s="19">
        <v>7.75</v>
      </c>
    </row>
    <row r="26" spans="1:3" x14ac:dyDescent="0.25">
      <c r="A26" s="18" t="s">
        <v>81</v>
      </c>
      <c r="B26">
        <v>700</v>
      </c>
      <c r="C26" s="19">
        <v>7.7714285714285714</v>
      </c>
    </row>
    <row r="27" spans="1:3" x14ac:dyDescent="0.25">
      <c r="A27" s="18" t="s">
        <v>82</v>
      </c>
      <c r="B27">
        <v>755</v>
      </c>
      <c r="C27" s="19">
        <v>8.2162162162162158</v>
      </c>
    </row>
    <row r="28" spans="1:3" x14ac:dyDescent="0.25">
      <c r="A28" s="18" t="s">
        <v>83</v>
      </c>
      <c r="B28">
        <v>785</v>
      </c>
      <c r="C28" s="19">
        <v>7.9473684210526319</v>
      </c>
    </row>
    <row r="29" spans="1:3" x14ac:dyDescent="0.25">
      <c r="A29" s="18" t="s">
        <v>84</v>
      </c>
      <c r="B29">
        <v>1008</v>
      </c>
      <c r="C29" s="19">
        <v>6.7894736842105265</v>
      </c>
    </row>
    <row r="30" spans="1:3" x14ac:dyDescent="0.25">
      <c r="A30" s="18" t="s">
        <v>85</v>
      </c>
      <c r="B30">
        <v>1031</v>
      </c>
      <c r="C30" s="19">
        <v>6.384615384615385</v>
      </c>
    </row>
    <row r="31" spans="1:3" x14ac:dyDescent="0.25">
      <c r="A31" s="18" t="s">
        <v>76</v>
      </c>
      <c r="B31">
        <v>5573</v>
      </c>
      <c r="C31" s="19">
        <v>7.5258964143426299</v>
      </c>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B0AD-E824-4119-AB72-542943AA6EE7}">
  <dimension ref="A3:G24"/>
  <sheetViews>
    <sheetView showGridLines="0" workbookViewId="0">
      <selection activeCell="F11" sqref="F11"/>
    </sheetView>
  </sheetViews>
  <sheetFormatPr defaultRowHeight="15" x14ac:dyDescent="0.25"/>
  <cols>
    <col min="1" max="2" width="3.42578125" customWidth="1"/>
    <col min="3" max="3" width="33.42578125" customWidth="1"/>
    <col min="4" max="4" width="18.85546875" bestFit="1" customWidth="1"/>
    <col min="6" max="6" width="19.42578125" customWidth="1"/>
    <col min="7" max="7" width="18.85546875" bestFit="1" customWidth="1"/>
  </cols>
  <sheetData>
    <row r="3" spans="1:7" s="21" customFormat="1" ht="15.75" thickBot="1" x14ac:dyDescent="0.3">
      <c r="A3"/>
      <c r="B3"/>
    </row>
    <row r="5" spans="1:7" x14ac:dyDescent="0.25">
      <c r="C5" s="41" t="s">
        <v>97</v>
      </c>
      <c r="D5" s="41"/>
      <c r="G5" s="25" t="s">
        <v>101</v>
      </c>
    </row>
    <row r="6" spans="1:7" x14ac:dyDescent="0.25">
      <c r="C6" t="s">
        <v>89</v>
      </c>
      <c r="D6" s="23" t="s">
        <v>101</v>
      </c>
      <c r="G6" s="32" t="s">
        <v>73</v>
      </c>
    </row>
    <row r="7" spans="1:7" x14ac:dyDescent="0.25">
      <c r="C7" t="s">
        <v>10</v>
      </c>
      <c r="D7" s="23" t="str">
        <f>IFERROR(_xlfn.XLOOKUP(D6,reference_sheet!E6:E15,reference_sheet!G6:G15),"-")</f>
        <v>-</v>
      </c>
      <c r="G7" s="32" t="s">
        <v>75</v>
      </c>
    </row>
    <row r="8" spans="1:7" x14ac:dyDescent="0.25">
      <c r="C8" t="s">
        <v>90</v>
      </c>
      <c r="D8" s="24" t="str">
        <f>IFERROR(_xlfn.XLOOKUP(D6,call_center_cleaned!C6:C256,call_center_cleaned!E6:E256),"-")</f>
        <v>-</v>
      </c>
      <c r="G8" s="32" t="s">
        <v>67</v>
      </c>
    </row>
    <row r="9" spans="1:7" x14ac:dyDescent="0.25">
      <c r="C9" t="s">
        <v>91</v>
      </c>
      <c r="D9" s="23" t="str">
        <f>IFERROR(AVERAGEIF(call_center_cleaned!$C$6:$C$256,'Agent''s Performance'!$D$6,call_center_cleaned!$F$6:$F$256),"-")</f>
        <v>-</v>
      </c>
      <c r="G9" s="32" t="s">
        <v>74</v>
      </c>
    </row>
    <row r="10" spans="1:7" x14ac:dyDescent="0.25">
      <c r="G10" s="32" t="s">
        <v>69</v>
      </c>
    </row>
    <row r="11" spans="1:7" x14ac:dyDescent="0.25">
      <c r="G11" s="32" t="s">
        <v>68</v>
      </c>
    </row>
    <row r="12" spans="1:7" x14ac:dyDescent="0.25">
      <c r="C12" s="41" t="s">
        <v>98</v>
      </c>
      <c r="D12" s="41"/>
      <c r="G12" s="32" t="s">
        <v>70</v>
      </c>
    </row>
    <row r="13" spans="1:7" x14ac:dyDescent="0.25">
      <c r="C13" t="s">
        <v>92</v>
      </c>
      <c r="D13" s="23" t="str">
        <f>IF(SUMIFS(call_center_cleaned!K6:$K$256,call_center_cleaned!$C$6:$C$256,'Agent''s Performance'!$D$6)=0,"-")</f>
        <v>-</v>
      </c>
      <c r="G13" s="32" t="s">
        <v>66</v>
      </c>
    </row>
    <row r="14" spans="1:7" x14ac:dyDescent="0.25">
      <c r="C14" t="s">
        <v>93</v>
      </c>
      <c r="D14" s="26" t="str">
        <f>IFERROR(AVERAGEIFS(call_center_cleaned!K6:$K$256,call_center_cleaned!$C$6:$C$256,'Agent''s Performance'!$D$6),"-")</f>
        <v>-</v>
      </c>
      <c r="G14" s="32" t="s">
        <v>71</v>
      </c>
    </row>
    <row r="15" spans="1:7" x14ac:dyDescent="0.25">
      <c r="C15" t="s">
        <v>94</v>
      </c>
      <c r="D15" s="27" t="str">
        <f>IFERROR(AVERAGEIFS(call_center_cleaned!$M$6:$M$256,call_center_cleaned!$C$6:$C$256,'Agent''s Performance'!$D$6),"-")</f>
        <v>-</v>
      </c>
      <c r="G15" s="32" t="s">
        <v>72</v>
      </c>
    </row>
    <row r="16" spans="1:7" x14ac:dyDescent="0.25">
      <c r="C16" t="s">
        <v>95</v>
      </c>
      <c r="D16" s="28" t="str">
        <f>IFERROR(AVERAGEIFS(call_center_cleaned!$N$6:$N$256,call_center_cleaned!$C$6:$C$256,'Agent''s Performance'!$D$6),"-")</f>
        <v>-</v>
      </c>
      <c r="F16" s="31"/>
    </row>
    <row r="17" spans="3:4" x14ac:dyDescent="0.25">
      <c r="C17" t="s">
        <v>96</v>
      </c>
      <c r="D17" s="28" t="str">
        <f>IFERROR(AVERAGEIFS(call_center_cleaned!$O$6:$O$256,call_center_cleaned!$C$6:$C$256,'Agent''s Performance'!$D$6),"-")</f>
        <v>-</v>
      </c>
    </row>
    <row r="18" spans="3:4" x14ac:dyDescent="0.25">
      <c r="D18" s="23"/>
    </row>
    <row r="19" spans="3:4" x14ac:dyDescent="0.25">
      <c r="D19" s="23"/>
    </row>
    <row r="20" spans="3:4" x14ac:dyDescent="0.25">
      <c r="C20" s="41" t="s">
        <v>99</v>
      </c>
      <c r="D20" s="42"/>
    </row>
    <row r="21" spans="3:4" x14ac:dyDescent="0.25">
      <c r="C21" t="s">
        <v>40</v>
      </c>
      <c r="D21" s="28" t="str">
        <f>IFERROR(AVERAGEIFS(call_center_cleaned!$O$6:$O$256,call_center_cleaned!$C$6:$C$256,'Agent''s Performance'!$D$6,call_center_cleaned!$J$6:$J$256,'Agent''s Performance'!$C21),"-")</f>
        <v>-</v>
      </c>
    </row>
    <row r="22" spans="3:4" x14ac:dyDescent="0.25">
      <c r="C22" t="s">
        <v>36</v>
      </c>
      <c r="D22" s="28" t="str">
        <f>IFERROR(AVERAGEIFS(call_center_cleaned!$O$6:$O$256,call_center_cleaned!$C$6:$C$256,'Agent''s Performance'!$D$6,call_center_cleaned!$J$6:$J$256,'Agent''s Performance'!$C22),"-")</f>
        <v>-</v>
      </c>
    </row>
    <row r="23" spans="3:4" ht="15.75" thickBot="1" x14ac:dyDescent="0.3">
      <c r="C23" s="21" t="s">
        <v>38</v>
      </c>
      <c r="D23" s="29" t="str">
        <f>IFERROR(AVERAGEIFS(call_center_cleaned!$O$6:$O$256,call_center_cleaned!$C$6:$C$256,'Agent''s Performance'!$D$6,call_center_cleaned!$J$6:$J$256,'Agent''s Performance'!$C23),"-")</f>
        <v>-</v>
      </c>
    </row>
    <row r="24" spans="3:4" x14ac:dyDescent="0.25">
      <c r="C24" s="22" t="s">
        <v>100</v>
      </c>
      <c r="D24" s="30" t="str">
        <f>IFERROR(AVERAGE(D21:D23),"-")</f>
        <v>-</v>
      </c>
    </row>
  </sheetData>
  <mergeCells count="3">
    <mergeCell ref="C5:D5"/>
    <mergeCell ref="C12:D12"/>
    <mergeCell ref="C20:D20"/>
  </mergeCells>
  <dataValidations count="1">
    <dataValidation type="list" showInputMessage="1" showErrorMessage="1" sqref="D6" xr:uid="{6F0C0E9D-6EDB-4E96-A5AD-D5DF71872812}">
      <formula1>$G$5:$G$15</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FD142-E432-4C9E-A2E0-850F4C411B88}">
  <dimension ref="B2:I78"/>
  <sheetViews>
    <sheetView showGridLines="0" topLeftCell="A34" workbookViewId="0">
      <selection activeCell="D69" sqref="D69"/>
    </sheetView>
  </sheetViews>
  <sheetFormatPr defaultRowHeight="15" x14ac:dyDescent="0.25"/>
  <cols>
    <col min="2" max="2" width="13.140625" bestFit="1" customWidth="1"/>
    <col min="3" max="3" width="31.42578125" bestFit="1" customWidth="1"/>
    <col min="4" max="4" width="26.42578125" bestFit="1" customWidth="1"/>
    <col min="8" max="8" width="23.5703125" bestFit="1" customWidth="1"/>
  </cols>
  <sheetData>
    <row r="2" spans="2:3" x14ac:dyDescent="0.25">
      <c r="B2" t="s">
        <v>86</v>
      </c>
    </row>
    <row r="3" spans="2:3" x14ac:dyDescent="0.25">
      <c r="B3">
        <v>5573</v>
      </c>
    </row>
    <row r="5" spans="2:3" x14ac:dyDescent="0.25">
      <c r="B5" t="s">
        <v>87</v>
      </c>
    </row>
    <row r="6" spans="2:3" x14ac:dyDescent="0.25">
      <c r="B6" s="33">
        <v>50.788844621513945</v>
      </c>
    </row>
    <row r="8" spans="2:3" x14ac:dyDescent="0.25">
      <c r="B8" t="s">
        <v>78</v>
      </c>
    </row>
    <row r="9" spans="2:3" x14ac:dyDescent="0.25">
      <c r="B9" s="33">
        <v>7.5258964143426299</v>
      </c>
    </row>
    <row r="11" spans="2:3" x14ac:dyDescent="0.25">
      <c r="B11" t="s">
        <v>88</v>
      </c>
    </row>
    <row r="12" spans="2:3" x14ac:dyDescent="0.25">
      <c r="B12" s="20">
        <v>7.5022594805961304E-3</v>
      </c>
    </row>
    <row r="14" spans="2:3" x14ac:dyDescent="0.25">
      <c r="B14" s="17" t="s">
        <v>65</v>
      </c>
      <c r="C14" t="s">
        <v>86</v>
      </c>
    </row>
    <row r="15" spans="2:3" x14ac:dyDescent="0.25">
      <c r="B15" s="18" t="s">
        <v>36</v>
      </c>
      <c r="C15">
        <v>1713</v>
      </c>
    </row>
    <row r="16" spans="2:3" x14ac:dyDescent="0.25">
      <c r="B16" s="18" t="s">
        <v>38</v>
      </c>
      <c r="C16">
        <v>1881</v>
      </c>
    </row>
    <row r="17" spans="2:3" x14ac:dyDescent="0.25">
      <c r="B17" s="18" t="s">
        <v>40</v>
      </c>
      <c r="C17">
        <v>1979</v>
      </c>
    </row>
    <row r="18" spans="2:3" x14ac:dyDescent="0.25">
      <c r="B18" s="18" t="s">
        <v>76</v>
      </c>
      <c r="C18">
        <v>5573</v>
      </c>
    </row>
    <row r="21" spans="2:3" x14ac:dyDescent="0.25">
      <c r="B21" s="17" t="s">
        <v>65</v>
      </c>
      <c r="C21" t="s">
        <v>87</v>
      </c>
    </row>
    <row r="22" spans="2:3" x14ac:dyDescent="0.25">
      <c r="B22" s="18" t="s">
        <v>38</v>
      </c>
      <c r="C22" s="39">
        <v>0.97415467599025796</v>
      </c>
    </row>
    <row r="23" spans="2:3" x14ac:dyDescent="0.25">
      <c r="B23" s="18" t="s">
        <v>36</v>
      </c>
      <c r="C23" s="39">
        <v>0.97521652345182419</v>
      </c>
    </row>
    <row r="24" spans="2:3" x14ac:dyDescent="0.25">
      <c r="B24" s="18" t="s">
        <v>40</v>
      </c>
      <c r="C24" s="39">
        <v>1.0503337591704394</v>
      </c>
    </row>
    <row r="25" spans="2:3" x14ac:dyDescent="0.25">
      <c r="B25" s="18" t="s">
        <v>76</v>
      </c>
      <c r="C25" s="39">
        <v>1</v>
      </c>
    </row>
    <row r="28" spans="2:3" x14ac:dyDescent="0.25">
      <c r="B28" s="17" t="s">
        <v>65</v>
      </c>
      <c r="C28" t="s">
        <v>78</v>
      </c>
    </row>
    <row r="29" spans="2:3" x14ac:dyDescent="0.25">
      <c r="B29" s="18" t="s">
        <v>40</v>
      </c>
      <c r="C29" s="33">
        <v>7.4285714285714288</v>
      </c>
    </row>
    <row r="30" spans="2:3" x14ac:dyDescent="0.25">
      <c r="B30" s="18" t="s">
        <v>36</v>
      </c>
      <c r="C30" s="33">
        <v>7.5542168674698793</v>
      </c>
    </row>
    <row r="31" spans="2:3" x14ac:dyDescent="0.25">
      <c r="B31" s="18" t="s">
        <v>38</v>
      </c>
      <c r="C31" s="33">
        <v>7.5952380952380949</v>
      </c>
    </row>
    <row r="32" spans="2:3" x14ac:dyDescent="0.25">
      <c r="B32" s="18" t="s">
        <v>76</v>
      </c>
      <c r="C32" s="33">
        <v>7.5258964143426299</v>
      </c>
    </row>
    <row r="35" spans="2:9" x14ac:dyDescent="0.25">
      <c r="B35" s="17" t="s">
        <v>65</v>
      </c>
      <c r="C35" t="s">
        <v>107</v>
      </c>
      <c r="D35" t="s">
        <v>87</v>
      </c>
    </row>
    <row r="36" spans="2:9" x14ac:dyDescent="0.25">
      <c r="B36" s="18" t="s">
        <v>38</v>
      </c>
      <c r="C36" s="33">
        <v>22.392857142857142</v>
      </c>
      <c r="D36" s="33">
        <v>49.476190476190474</v>
      </c>
    </row>
    <row r="37" spans="2:9" x14ac:dyDescent="0.25">
      <c r="B37" s="18" t="s">
        <v>36</v>
      </c>
      <c r="C37" s="33">
        <v>20.638554216867469</v>
      </c>
      <c r="D37" s="33">
        <v>49.53012048192771</v>
      </c>
    </row>
    <row r="38" spans="2:9" x14ac:dyDescent="0.25">
      <c r="B38" s="18" t="s">
        <v>40</v>
      </c>
      <c r="C38" s="33">
        <v>23.55952380952381</v>
      </c>
      <c r="D38" s="33">
        <v>53.345238095238095</v>
      </c>
    </row>
    <row r="39" spans="2:9" x14ac:dyDescent="0.25">
      <c r="B39" s="18" t="s">
        <v>76</v>
      </c>
      <c r="C39" s="33">
        <v>22.203187250996017</v>
      </c>
      <c r="D39" s="33">
        <v>50.788844621513945</v>
      </c>
    </row>
    <row r="40" spans="2:9" x14ac:dyDescent="0.25">
      <c r="H40" s="33"/>
      <c r="I40" s="33"/>
    </row>
    <row r="41" spans="2:9" x14ac:dyDescent="0.25">
      <c r="H41" s="33"/>
      <c r="I41" s="33"/>
    </row>
    <row r="42" spans="2:9" x14ac:dyDescent="0.25">
      <c r="H42" s="33"/>
      <c r="I42" s="33"/>
    </row>
    <row r="43" spans="2:9" x14ac:dyDescent="0.25">
      <c r="I43" s="33"/>
    </row>
    <row r="46" spans="2:9" x14ac:dyDescent="0.25">
      <c r="B46" s="17" t="s">
        <v>65</v>
      </c>
      <c r="C46" t="s">
        <v>88</v>
      </c>
    </row>
    <row r="47" spans="2:9" x14ac:dyDescent="0.25">
      <c r="B47" s="18" t="s">
        <v>40</v>
      </c>
      <c r="C47" s="20">
        <v>4.1045249118165789E-3</v>
      </c>
    </row>
    <row r="48" spans="2:9" x14ac:dyDescent="0.25">
      <c r="B48" s="18" t="s">
        <v>38</v>
      </c>
      <c r="C48" s="20">
        <v>5.4727458112874784E-3</v>
      </c>
    </row>
    <row r="49" spans="2:3" x14ac:dyDescent="0.25">
      <c r="B49" s="18" t="s">
        <v>36</v>
      </c>
      <c r="C49" s="20">
        <v>1.2994896251673356E-2</v>
      </c>
    </row>
    <row r="50" spans="2:3" x14ac:dyDescent="0.25">
      <c r="B50" s="18" t="s">
        <v>76</v>
      </c>
      <c r="C50" s="20">
        <v>7.5022594805961374E-3</v>
      </c>
    </row>
    <row r="57" spans="2:3" x14ac:dyDescent="0.25">
      <c r="B57" s="17" t="s">
        <v>65</v>
      </c>
      <c r="C57" t="s">
        <v>78</v>
      </c>
    </row>
    <row r="58" spans="2:3" x14ac:dyDescent="0.25">
      <c r="B58" s="36" t="s">
        <v>104</v>
      </c>
      <c r="C58" s="33">
        <v>7.291666666666667</v>
      </c>
    </row>
    <row r="59" spans="2:3" x14ac:dyDescent="0.25">
      <c r="B59" s="36" t="s">
        <v>106</v>
      </c>
      <c r="C59" s="33">
        <v>7.397260273972603</v>
      </c>
    </row>
    <row r="60" spans="2:3" x14ac:dyDescent="0.25">
      <c r="B60" s="36" t="s">
        <v>103</v>
      </c>
      <c r="C60" s="33">
        <v>7.5825242718446599</v>
      </c>
    </row>
    <row r="61" spans="2:3" x14ac:dyDescent="0.25">
      <c r="B61" s="36" t="s">
        <v>105</v>
      </c>
      <c r="C61" s="33">
        <v>7.7058823529411766</v>
      </c>
    </row>
    <row r="62" spans="2:3" x14ac:dyDescent="0.25">
      <c r="B62" s="36" t="s">
        <v>76</v>
      </c>
      <c r="C62" s="33">
        <v>7.5258964143426299</v>
      </c>
    </row>
    <row r="66" spans="2:3" x14ac:dyDescent="0.25">
      <c r="B66" s="2"/>
      <c r="C66" s="33"/>
    </row>
    <row r="67" spans="2:3" x14ac:dyDescent="0.25">
      <c r="B67" s="2"/>
      <c r="C67" s="33"/>
    </row>
    <row r="68" spans="2:3" x14ac:dyDescent="0.25">
      <c r="B68" s="2"/>
      <c r="C68" s="33"/>
    </row>
    <row r="69" spans="2:3" x14ac:dyDescent="0.25">
      <c r="B69" s="2" t="str" cm="1">
        <f t="array" ref="B69:B78">_xlfn.UNIQUE(call_center_cleaned!C6:C256)</f>
        <v>Mark Ventura</v>
      </c>
      <c r="C69" s="33"/>
    </row>
    <row r="70" spans="2:3" x14ac:dyDescent="0.25">
      <c r="B70" s="2" t="str">
        <v>Jay Alvarez</v>
      </c>
      <c r="C70" s="33"/>
    </row>
    <row r="71" spans="2:3" x14ac:dyDescent="0.25">
      <c r="B71" t="str">
        <v>Josh Vega</v>
      </c>
    </row>
    <row r="72" spans="2:3" x14ac:dyDescent="0.25">
      <c r="B72" t="str">
        <v>Cherry Castillo</v>
      </c>
    </row>
    <row r="73" spans="2:3" x14ac:dyDescent="0.25">
      <c r="B73" t="str">
        <v>Cecille Chen</v>
      </c>
    </row>
    <row r="74" spans="2:3" x14ac:dyDescent="0.25">
      <c r="B74" t="str">
        <v>Peter Rivera</v>
      </c>
    </row>
    <row r="75" spans="2:3" x14ac:dyDescent="0.25">
      <c r="B75" t="str">
        <v>Jane Hernandez</v>
      </c>
    </row>
    <row r="76" spans="2:3" x14ac:dyDescent="0.25">
      <c r="B76" t="str">
        <v>Rachel Delos Santos</v>
      </c>
    </row>
    <row r="77" spans="2:3" x14ac:dyDescent="0.25">
      <c r="B77" t="str">
        <v>Lisa Diaz</v>
      </c>
    </row>
    <row r="78" spans="2:3" x14ac:dyDescent="0.25">
      <c r="B78" t="str">
        <v>Eric Molina</v>
      </c>
    </row>
  </sheetData>
  <dataValidations count="2">
    <dataValidation type="list" allowBlank="1" showInputMessage="1" showErrorMessage="1" sqref="E59" xr:uid="{AE3DE98D-3387-4E58-8A3A-2506A76B4C1B}">
      <formula1>$B$60:$B$69</formula1>
    </dataValidation>
    <dataValidation type="list" allowBlank="1" showInputMessage="1" showErrorMessage="1" sqref="D69" xr:uid="{5F662934-6985-4E9B-A51B-EC03D2BF52E5}">
      <formula1>$B$69:$B$78</formula1>
    </dataValidation>
  </dataValidations>
  <pageMargins left="0.7" right="0.7" top="0.75" bottom="0.75" header="0.3" footer="0.3"/>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E4E5F-06DC-4EC0-B741-FD8FE1A572F7}">
  <dimension ref="B1:V47"/>
  <sheetViews>
    <sheetView showGridLines="0" zoomScaleNormal="100" workbookViewId="0">
      <selection activeCell="I30" sqref="I30"/>
    </sheetView>
  </sheetViews>
  <sheetFormatPr defaultRowHeight="15" x14ac:dyDescent="0.25"/>
  <cols>
    <col min="1" max="1" width="14" bestFit="1" customWidth="1"/>
    <col min="2" max="2" width="6.28515625" bestFit="1" customWidth="1"/>
    <col min="3" max="3" width="7.140625" bestFit="1" customWidth="1"/>
    <col min="4" max="4" width="14" bestFit="1" customWidth="1"/>
  </cols>
  <sheetData>
    <row r="1" spans="2:22" s="37" customFormat="1" x14ac:dyDescent="0.25"/>
    <row r="2" spans="2:22" s="37" customFormat="1" x14ac:dyDescent="0.25"/>
    <row r="3" spans="2:22" s="37" customFormat="1" ht="9.75" customHeight="1" x14ac:dyDescent="0.25"/>
    <row r="4" spans="2:22" s="37" customFormat="1" ht="34.5" customHeight="1" x14ac:dyDescent="0.25"/>
    <row r="5" spans="2:22" s="34" customFormat="1" x14ac:dyDescent="0.25"/>
    <row r="6" spans="2:22" s="34" customFormat="1" x14ac:dyDescent="0.25">
      <c r="B6" s="35"/>
      <c r="C6" s="35"/>
    </row>
    <row r="7" spans="2:22" s="34" customFormat="1" x14ac:dyDescent="0.25"/>
    <row r="8" spans="2:22" s="34" customFormat="1" x14ac:dyDescent="0.25"/>
    <row r="9" spans="2:22" s="34" customFormat="1" x14ac:dyDescent="0.25"/>
    <row r="10" spans="2:22" s="34" customFormat="1" x14ac:dyDescent="0.25">
      <c r="V10" s="34" t="s">
        <v>108</v>
      </c>
    </row>
    <row r="11" spans="2:22" s="34" customFormat="1" x14ac:dyDescent="0.25"/>
    <row r="12" spans="2:22" s="34" customFormat="1" x14ac:dyDescent="0.25"/>
    <row r="13" spans="2:22" s="34" customFormat="1" x14ac:dyDescent="0.25"/>
    <row r="14" spans="2:22" s="34" customFormat="1" x14ac:dyDescent="0.25"/>
    <row r="15" spans="2:22" s="34" customFormat="1" x14ac:dyDescent="0.25"/>
    <row r="16" spans="2:22" s="34" customFormat="1" x14ac:dyDescent="0.25"/>
    <row r="17" spans="10:10" s="34" customFormat="1" x14ac:dyDescent="0.25"/>
    <row r="18" spans="10:10" s="34" customFormat="1" x14ac:dyDescent="0.25"/>
    <row r="19" spans="10:10" s="34" customFormat="1" x14ac:dyDescent="0.25"/>
    <row r="20" spans="10:10" s="34" customFormat="1" x14ac:dyDescent="0.25"/>
    <row r="21" spans="10:10" s="34" customFormat="1" x14ac:dyDescent="0.25"/>
    <row r="22" spans="10:10" s="34" customFormat="1" x14ac:dyDescent="0.25"/>
    <row r="23" spans="10:10" s="34" customFormat="1" x14ac:dyDescent="0.25"/>
    <row r="24" spans="10:10" s="34" customFormat="1" x14ac:dyDescent="0.25"/>
    <row r="25" spans="10:10" s="34" customFormat="1" x14ac:dyDescent="0.25"/>
    <row r="26" spans="10:10" s="34" customFormat="1" x14ac:dyDescent="0.25"/>
    <row r="27" spans="10:10" s="34" customFormat="1" x14ac:dyDescent="0.25"/>
    <row r="28" spans="10:10" s="34" customFormat="1" x14ac:dyDescent="0.25"/>
    <row r="29" spans="10:10" s="34" customFormat="1" x14ac:dyDescent="0.25"/>
    <row r="30" spans="10:10" s="34" customFormat="1" x14ac:dyDescent="0.25"/>
    <row r="31" spans="10:10" s="34" customFormat="1" x14ac:dyDescent="0.25">
      <c r="J31" s="38"/>
    </row>
    <row r="32" spans="10:10" s="34" customFormat="1" x14ac:dyDescent="0.25"/>
    <row r="33" s="34" customFormat="1" x14ac:dyDescent="0.25"/>
    <row r="34" s="34" customFormat="1" x14ac:dyDescent="0.25"/>
    <row r="35" s="34" customFormat="1" x14ac:dyDescent="0.25"/>
    <row r="36" s="34" customFormat="1" x14ac:dyDescent="0.25"/>
    <row r="37" s="34" customFormat="1" x14ac:dyDescent="0.25"/>
    <row r="38" s="34" customFormat="1" x14ac:dyDescent="0.25"/>
    <row r="39" s="34" customFormat="1" x14ac:dyDescent="0.25"/>
    <row r="40" s="34" customFormat="1" x14ac:dyDescent="0.25"/>
    <row r="41" s="34" customFormat="1" x14ac:dyDescent="0.25"/>
    <row r="42" s="34" customFormat="1" x14ac:dyDescent="0.25"/>
    <row r="43" s="34" customFormat="1" x14ac:dyDescent="0.25"/>
    <row r="44" s="34" customFormat="1" x14ac:dyDescent="0.25"/>
    <row r="45" s="34" customFormat="1" x14ac:dyDescent="0.25"/>
    <row r="46" s="34" customFormat="1" x14ac:dyDescent="0.25"/>
    <row r="47" s="34" customFormat="1" x14ac:dyDescent="0.25"/>
  </sheetData>
  <pageMargins left="0.7" right="0.7" top="0.75" bottom="0.75" header="0.3" footer="0.3"/>
  <pageSetup orientation="portrait" horizontalDpi="4294967293" verticalDpi="0"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EAEB2F-0D76-435C-A5D5-02151E707B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call_center_cleaned</vt:lpstr>
      <vt:lpstr>reference_sheet</vt:lpstr>
      <vt:lpstr>Analysis#1</vt:lpstr>
      <vt:lpstr>Analysis#2</vt:lpstr>
      <vt:lpstr>Analysis#3</vt:lpstr>
      <vt:lpstr>Analysis#4</vt:lpstr>
      <vt:lpstr>Analysis#5</vt:lpstr>
      <vt:lpstr>Agent's Performance</vt:lpstr>
      <vt:lpstr>Charts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john Castor</dc:creator>
  <cp:lastModifiedBy>Michael john Castor</cp:lastModifiedBy>
  <cp:lastPrinted>2023-06-05T14:24:46Z</cp:lastPrinted>
  <dcterms:created xsi:type="dcterms:W3CDTF">2023-05-20T04:23:43Z</dcterms:created>
  <dcterms:modified xsi:type="dcterms:W3CDTF">2023-06-09T12:01:25Z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2023-05-24T08:17:55Z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bd533eef-6589-45e8-a522-79cc872f6d79</vt:lpwstr>
  </property>
  <property fmtid="{D5CDD505-2E9C-101B-9397-08002B2CF9AE}" pid="7" name="MSIP_Label_defa4170-0d19-0005-0004-bc88714345d2_ActionId">
    <vt:lpwstr>bfcf913a-5ec4-4417-acaf-9a4036a51080</vt:lpwstr>
  </property>
  <property fmtid="{D5CDD505-2E9C-101B-9397-08002B2CF9AE}" pid="8" name="MSIP_Label_defa4170-0d19-0005-0004-bc88714345d2_ContentBits">
    <vt:lpwstr>0</vt:lpwstr>
  </property>
</Properties>
</file>